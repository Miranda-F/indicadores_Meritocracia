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ran\Downloads\"/>
    </mc:Choice>
  </mc:AlternateContent>
  <xr:revisionPtr revIDLastSave="0" documentId="13_ncr:1_{3698E018-02E6-47FB-A31C-00E0D0E72E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" sheetId="1" r:id="rId1"/>
    <sheet name="COLETAS MENSAIS" sheetId="2" r:id="rId2"/>
    <sheet name="COLETAS DIARI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68" i="2" l="1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<sst xmlns="http://schemas.openxmlformats.org/spreadsheetml/2006/main" count="6882" uniqueCount="844">
  <si>
    <t>DEPTO</t>
  </si>
  <si>
    <t>SETOR</t>
  </si>
  <si>
    <t>COLABORADOR</t>
  </si>
  <si>
    <t>FUNÇÃO</t>
  </si>
  <si>
    <t>ATIVO (A/ I/ F)</t>
  </si>
  <si>
    <t>INDICADOR</t>
  </si>
  <si>
    <t>NIVEL</t>
  </si>
  <si>
    <t>BONUS M.</t>
  </si>
  <si>
    <t>BONUS SM</t>
  </si>
  <si>
    <t>META</t>
  </si>
  <si>
    <t>SUPERMETA</t>
  </si>
  <si>
    <t>COMERCIAL</t>
  </si>
  <si>
    <t>MAIRA BEASUCCI DAMIANI</t>
  </si>
  <si>
    <t>GERENTE DE VENDAS E MARKETING</t>
  </si>
  <si>
    <t xml:space="preserve">A </t>
  </si>
  <si>
    <t>IM - Diária média</t>
  </si>
  <si>
    <t>R$  1.000,00</t>
  </si>
  <si>
    <t>R$  2.000,00</t>
  </si>
  <si>
    <t>A</t>
  </si>
  <si>
    <t>IM - ROB Grupo (Resort + Acqua Park)</t>
  </si>
  <si>
    <t>R$  3.000,00</t>
  </si>
  <si>
    <t>R$  6.000,00</t>
  </si>
  <si>
    <t>IM - Vendas Grupo (Resort e Acqua Park)</t>
  </si>
  <si>
    <t>PRISCILLA DOS SANTOS FELIX</t>
  </si>
  <si>
    <t>GERENTE COMERCIAL</t>
  </si>
  <si>
    <t>IM - Diária Média B2B</t>
  </si>
  <si>
    <t>IM - Receita de Hospedagem B2B</t>
  </si>
  <si>
    <t>IM - Vendas B2B</t>
  </si>
  <si>
    <t>MARKETING</t>
  </si>
  <si>
    <t>ALAN BRUNO RODRIGUES DA SILVA</t>
  </si>
  <si>
    <t>ESPECIALISTA DE MARKETING</t>
  </si>
  <si>
    <t>IM - % de Engajamento Facebook Acqua Park</t>
  </si>
  <si>
    <t>R$ 100,00</t>
  </si>
  <si>
    <t>R$ 200,00</t>
  </si>
  <si>
    <t>IM - % de Engajamento Facebook Resort</t>
  </si>
  <si>
    <t>IM - % de Engajamento Instagram Acqua Park</t>
  </si>
  <si>
    <t>R$ 300,00</t>
  </si>
  <si>
    <t>R$ 600,00</t>
  </si>
  <si>
    <t>IM - % de Engajamento Instagram Resort</t>
  </si>
  <si>
    <t>SILVIA SHAYLINE QUEIROZ DE OLIVEIRA SOUZA LEITE</t>
  </si>
  <si>
    <t>COORD DE MARKETING PLENO</t>
  </si>
  <si>
    <t>I</t>
  </si>
  <si>
    <t>IM - Taxa de conversão vendas site</t>
  </si>
  <si>
    <t>R$ 400,00</t>
  </si>
  <si>
    <t>R$ 800,00</t>
  </si>
  <si>
    <t>IM - Vendas site</t>
  </si>
  <si>
    <t>VERONICA CACCIATORE BULAMAH</t>
  </si>
  <si>
    <t>GERENTE DE MARKETING</t>
  </si>
  <si>
    <t>R$ 3.000,00</t>
  </si>
  <si>
    <t>R$ 6.000,00</t>
  </si>
  <si>
    <t>IM - ROI global do Marketing</t>
  </si>
  <si>
    <t>R$ 1.500,00</t>
  </si>
  <si>
    <t>R$ 2.500,00</t>
  </si>
  <si>
    <t>R$ 5.000,00</t>
  </si>
  <si>
    <t>RESERVAS</t>
  </si>
  <si>
    <t>NAYARA CRISTINA FERRER DO NASCIMENTO</t>
  </si>
  <si>
    <t>COORD DE RESERVAS PL</t>
  </si>
  <si>
    <t>R$  240,00</t>
  </si>
  <si>
    <t>R$  480,00</t>
  </si>
  <si>
    <t>R$  320,00</t>
  </si>
  <si>
    <t>R$  640,00</t>
  </si>
  <si>
    <t>REVENUE MANAGEMENT</t>
  </si>
  <si>
    <t>BRUNO ARAUJO DE CARVALHO</t>
  </si>
  <si>
    <t>ESPECIALISTA REVENUE MANAGEMENT</t>
  </si>
  <si>
    <t>R$  300,00</t>
  </si>
  <si>
    <t>R$  600,00</t>
  </si>
  <si>
    <t>IM - REVPAR</t>
  </si>
  <si>
    <t>IM - ROB Hotelaria</t>
  </si>
  <si>
    <t>R$  1.200,00</t>
  </si>
  <si>
    <t>VENDAS DIRETAS</t>
  </si>
  <si>
    <t>ERYKA SILVA LEAO DA ROCHA</t>
  </si>
  <si>
    <t>GERENTE DE VENDAS JUNIOR</t>
  </si>
  <si>
    <t>IM - Ticket médio (ingresso Park)</t>
  </si>
  <si>
    <t>R$ 1.000,00</t>
  </si>
  <si>
    <t>R$ 2.000,00</t>
  </si>
  <si>
    <t>IM - Vendas Acqua Park</t>
  </si>
  <si>
    <t>IM - VGV Acqua Pass</t>
  </si>
  <si>
    <t>WAGNER MENDONÇA</t>
  </si>
  <si>
    <t>ESPECIALISTA DE VENDAS</t>
  </si>
  <si>
    <t>CONTROLADORIA</t>
  </si>
  <si>
    <t>ADM/FINANCEIRO</t>
  </si>
  <si>
    <t>GEMILLA DE ALMEIDA VIEIRA</t>
  </si>
  <si>
    <t>COORD ADM FINANCEIRO</t>
  </si>
  <si>
    <t>IM - % de inadimplência gerencial (Resort e Park)</t>
  </si>
  <si>
    <t>IM - Fechamento de Caixa Diário (D+2)</t>
  </si>
  <si>
    <t>LAURA CALHEIROS</t>
  </si>
  <si>
    <t>SUPERVISOR (A) ADM/JURÍDICO</t>
  </si>
  <si>
    <t>IM - Retenção em antecipados de cancelados My Pratagy</t>
  </si>
  <si>
    <t>R$  400,00</t>
  </si>
  <si>
    <t>R$  800,00</t>
  </si>
  <si>
    <t>LUCAS JONATHANS MENEZES</t>
  </si>
  <si>
    <t>ANALISTA FINANCEIRO JUNIOR</t>
  </si>
  <si>
    <t>DANIEL SILVA ALVES</t>
  </si>
  <si>
    <t>ANA PAULA SAPHIER SILVA DOS SANTOS</t>
  </si>
  <si>
    <t>RUBIA CRISTINA ALVES GALDINO</t>
  </si>
  <si>
    <t>GERENTE ADMINISTRATIVO/FINANCEIRO</t>
  </si>
  <si>
    <t>IM - Fechamento Mensal do Financeiro (Grupo)</t>
  </si>
  <si>
    <t>IM - Geração de caixa operacional</t>
  </si>
  <si>
    <t>ALMOXARIFADO</t>
  </si>
  <si>
    <t>DOUGLAS DE LIMA OLIVEIRA</t>
  </si>
  <si>
    <t>COORD DE ALMOXARIFADO</t>
  </si>
  <si>
    <t>IM - % Inventário de Almoxarifado</t>
  </si>
  <si>
    <t>IM - Estoque Imobilizado</t>
  </si>
  <si>
    <t>COMPRAS</t>
  </si>
  <si>
    <t>ALFREDO LAERTE DE BARROS CANUTO</t>
  </si>
  <si>
    <t>COMPRADOR (A)</t>
  </si>
  <si>
    <t>IM - Índice do Custo de Compras Pratagy (A&amp;B)</t>
  </si>
  <si>
    <t>R$  1.600,00</t>
  </si>
  <si>
    <t>-</t>
  </si>
  <si>
    <t>LUIS ANDRE DOS SANTOS</t>
  </si>
  <si>
    <t>IM - Índice do Custo de Compras Pratagy (MAT CONST)</t>
  </si>
  <si>
    <t>MATHEUS HENRIQUE OLIVEIRA</t>
  </si>
  <si>
    <t>IM - Índice do Custo de Compras Pratagy (MANUT)</t>
  </si>
  <si>
    <t>THACIANY ALESSANDRA BARROS DA SILVA</t>
  </si>
  <si>
    <t>CONTABILIDADE</t>
  </si>
  <si>
    <t>MARIA VERONICA DIAS DE SOUZA</t>
  </si>
  <si>
    <t>CONTADORA</t>
  </si>
  <si>
    <t>IM - Conciliação Contas Contábeis (Grupo)</t>
  </si>
  <si>
    <t>IM - Fechamento Contábil (Grupo)</t>
  </si>
  <si>
    <t>MAYARA SANTOS DA SILVA</t>
  </si>
  <si>
    <t>ANALISTA DE CONTROLADORIA JUNIOR</t>
  </si>
  <si>
    <t>IM - Consolidação dos indicadores da Controladoria</t>
  </si>
  <si>
    <t>CARLOS AYRON PINCHO DE OLIVEIRA</t>
  </si>
  <si>
    <t>CONTROLLER</t>
  </si>
  <si>
    <t>IM - Custo total Controladoria</t>
  </si>
  <si>
    <t>IM - Lucro Liquido (sem investimentos) Resort e Park</t>
  </si>
  <si>
    <t>IM - Lucro Liquido (sem investimentos) (MY)</t>
  </si>
  <si>
    <t>CUSTOS E SUPRIMENTOS</t>
  </si>
  <si>
    <t>FRANCISCO CARLOS FERREIRA DA SILVA</t>
  </si>
  <si>
    <t>GERENTE DE CUSTOS E SUPRIMENTOS</t>
  </si>
  <si>
    <t>R$  1.333,00</t>
  </si>
  <si>
    <t>R$  2.666,00</t>
  </si>
  <si>
    <t>IM - Custo total (My Pratagy)</t>
  </si>
  <si>
    <t>IM - Custo total (Resort + Park)</t>
  </si>
  <si>
    <t>R$  2.084,00</t>
  </si>
  <si>
    <t>R$  4.168,00</t>
  </si>
  <si>
    <t>IM - Índice do Custo de Compras Pratagy (GERAL)</t>
  </si>
  <si>
    <t>R$  1.083,00</t>
  </si>
  <si>
    <t>R$  2.166,00</t>
  </si>
  <si>
    <t>MY PRATAGY</t>
  </si>
  <si>
    <t>BEATRIS CRISTINA DA SILVA SANTOS</t>
  </si>
  <si>
    <t>ASSISTENTE FINANCEIRO JR</t>
  </si>
  <si>
    <t>IM - Performance de recebimento My Pratagy</t>
  </si>
  <si>
    <t>MARIA CLARA LEMBRANCA LYRA</t>
  </si>
  <si>
    <t>SUPERVISOR (A) FINANCEIRO</t>
  </si>
  <si>
    <t>IM - Fechamento mensal do financeiro - My Pratagy</t>
  </si>
  <si>
    <t>TIC</t>
  </si>
  <si>
    <t>JOAO VICTOR VIEIRA FREITAS BRAZ</t>
  </si>
  <si>
    <t>ANALISTA DE TIC</t>
  </si>
  <si>
    <t>IM - % Atendimentos de Chamados no TIC</t>
  </si>
  <si>
    <t>JONNEY CARVALHO</t>
  </si>
  <si>
    <t>GERENTE DE TIC</t>
  </si>
  <si>
    <t>IM - Custo orçamentário do TIC</t>
  </si>
  <si>
    <t>MARCOS HENRIQUE BARBOSA DA SILVA ROCHA</t>
  </si>
  <si>
    <t>ASSISTENTE DE TIC PLENO</t>
  </si>
  <si>
    <t>RODRIGO EDUARDO ALBUQUERQUE SILVA</t>
  </si>
  <si>
    <t>ESPECIALISTA DE TIC</t>
  </si>
  <si>
    <t>IM - Reclamações Wifi</t>
  </si>
  <si>
    <t>DIRETORIA</t>
  </si>
  <si>
    <t>THALES ATHALIMAR</t>
  </si>
  <si>
    <t>COO</t>
  </si>
  <si>
    <t>IM - Índice de experiência Pratagy</t>
  </si>
  <si>
    <t>R$  5.166,66</t>
  </si>
  <si>
    <t>R$  9.333,33</t>
  </si>
  <si>
    <t>GENTE &amp; GESTÃO</t>
  </si>
  <si>
    <t>CAUANNY MICAELLY LIMA DA SILVA</t>
  </si>
  <si>
    <t>ANALISTA DE DHO JUNIOR</t>
  </si>
  <si>
    <t>IM - % de Fechamento de vagas operacionais no prazo</t>
  </si>
  <si>
    <t>R$  75,00</t>
  </si>
  <si>
    <t>R$  150,00</t>
  </si>
  <si>
    <t>IM - % de Aderência a avaliação de experiência</t>
  </si>
  <si>
    <t>R$  125,00</t>
  </si>
  <si>
    <t>R$  250,00</t>
  </si>
  <si>
    <t>MAYRANE FERREIRA</t>
  </si>
  <si>
    <t>COORDENADORA DE DHO</t>
  </si>
  <si>
    <t>IM - % de Fechamento de vagas geral no prazo</t>
  </si>
  <si>
    <t>IM - % de retenção de novos colaboradores</t>
  </si>
  <si>
    <t>IM - Custo de salários, eventos e consumo interno</t>
  </si>
  <si>
    <t>992,483.21</t>
  </si>
  <si>
    <t>942,859.05</t>
  </si>
  <si>
    <t>966,483.38</t>
  </si>
  <si>
    <t>918,159,21</t>
  </si>
  <si>
    <t>932,446.65</t>
  </si>
  <si>
    <t>885,824.32</t>
  </si>
  <si>
    <t>MAYRLA LEITE</t>
  </si>
  <si>
    <t>GESTOR DE GENTE E GESTAO</t>
  </si>
  <si>
    <t>IM - Custo de folha de pagamento Grupo Pratagy (Resort, AP e MP)</t>
  </si>
  <si>
    <t>IM - Qtd de horas positivas (BH)</t>
  </si>
  <si>
    <t>IM - Turnover de substituição</t>
  </si>
  <si>
    <t>SERVIÇOS DE RH</t>
  </si>
  <si>
    <t>ALEXANDRE OLIVEIRA DA SILVA</t>
  </si>
  <si>
    <t>GERENTE SERVIÇOS RH</t>
  </si>
  <si>
    <t>IM - % Absenteísmo</t>
  </si>
  <si>
    <t>IM - Fechamento dos relatórios DP (contabilidade)</t>
  </si>
  <si>
    <t>5º dia útil</t>
  </si>
  <si>
    <t>4º dia útil</t>
  </si>
  <si>
    <t>KEYLLA POLLYANNA DE VASCONCELLOS GOMES</t>
  </si>
  <si>
    <t>ASS DPTO PESSOAL JR</t>
  </si>
  <si>
    <t>IM - % Conformidade da auditoria de ponto (responsabilidade DP)</t>
  </si>
  <si>
    <t>R$  100,00</t>
  </si>
  <si>
    <t>R$  200,00</t>
  </si>
  <si>
    <t>IM - Fechamento das inconformidades do ponto eletrônico</t>
  </si>
  <si>
    <t>LUANA CRISTINA CALADO SANTOS</t>
  </si>
  <si>
    <t>ANALISTA DE DPT PESSOAL PLENO</t>
  </si>
  <si>
    <t>IM - % de chamados atendidos no prazo (DP / Zeev)</t>
  </si>
  <si>
    <t>IM - Qtd de ASOs vencidos no mês</t>
  </si>
  <si>
    <t>GERENCIA GERAL</t>
  </si>
  <si>
    <t>ENRIQUE BERTINI</t>
  </si>
  <si>
    <t>GERENTE GERAL</t>
  </si>
  <si>
    <t>IM - % de contratos vigentes My Pratagy</t>
  </si>
  <si>
    <t>IM - % Conformidade Gerência Geral</t>
  </si>
  <si>
    <t>IM - EBITDA Hotelaria+park</t>
  </si>
  <si>
    <t>IM - EBITDA MY</t>
  </si>
  <si>
    <t>OPERAÇÕES</t>
  </si>
  <si>
    <t>ACQUA PARK OPERAÇÕES</t>
  </si>
  <si>
    <t>EDILSON FARIAS LOBO</t>
  </si>
  <si>
    <t>ENCARREGADO DE MÁQUINAS</t>
  </si>
  <si>
    <t>IM - % Conformidade da manutenção Acqua Park</t>
  </si>
  <si>
    <t>IM - % Checklists aplicados da manutenção Acqua Park</t>
  </si>
  <si>
    <t>LUIZ CARLOS SILVA DOS SANTOS</t>
  </si>
  <si>
    <t>GERENTE DE OPERAÇÕES JUNIOR</t>
  </si>
  <si>
    <t>IM - NPS Acqua Park</t>
  </si>
  <si>
    <t>IM - Turnover Acqua Park</t>
  </si>
  <si>
    <t>IM - Vendas PDVs próprios Acqua Park</t>
  </si>
  <si>
    <t>R$  112.400,65</t>
  </si>
  <si>
    <t>R$  118.020,68</t>
  </si>
  <si>
    <t>R$  112.869,45</t>
  </si>
  <si>
    <t>R$  118.512,92</t>
  </si>
  <si>
    <t>R$  91.462,50</t>
  </si>
  <si>
    <t>R$  96.035,62</t>
  </si>
  <si>
    <t>NADJERLLANE LIMA FONSECA</t>
  </si>
  <si>
    <t>SUP DE OPERAÇÕES</t>
  </si>
  <si>
    <t>IM - % Conformidades Acqua Park</t>
  </si>
  <si>
    <t>IM - Custo total Acqua Park</t>
  </si>
  <si>
    <t>ALIMENTOS E BEBIDAS</t>
  </si>
  <si>
    <t>BARBARA CECILIA DA SILVA GRACA</t>
  </si>
  <si>
    <t>CHEF DE FILA</t>
  </si>
  <si>
    <t>IM - % Insatisfação com serviços de A&amp;B</t>
  </si>
  <si>
    <t>IM - % Inventário de utensílios e equipamentos de A&amp;B</t>
  </si>
  <si>
    <t>R$ 50,00</t>
  </si>
  <si>
    <t>IM - Insumos de A&amp;B per capta</t>
  </si>
  <si>
    <t>ELISANGELA PEREIRA RODRIGUES</t>
  </si>
  <si>
    <t>JAILSON GUEDES DOS SANTOS SOUZA</t>
  </si>
  <si>
    <t>COORDENADOR DE BARES</t>
  </si>
  <si>
    <t>IM - Custo de A&amp;B per capta</t>
  </si>
  <si>
    <t>KAUAN GABRIEL BARROS DOS SANTOS</t>
  </si>
  <si>
    <t>ANALISTA A&amp;B</t>
  </si>
  <si>
    <t>LEONEL FARIAS LOBO</t>
  </si>
  <si>
    <t>MAITRE</t>
  </si>
  <si>
    <t>MARIO CESAR DA SILVA GUEDES</t>
  </si>
  <si>
    <t>GERENTE DE ALIMENTOS E BEBIDAS</t>
  </si>
  <si>
    <t>IM - BH positivo A&amp;B</t>
  </si>
  <si>
    <t>R$ 500,00</t>
  </si>
  <si>
    <t>1875:00.00</t>
  </si>
  <si>
    <t>IM - Custo FOPAG - A&amp;B</t>
  </si>
  <si>
    <t>IM - Turnover A&amp;B</t>
  </si>
  <si>
    <t>NILTON VICENTE DOS SANTOS</t>
  </si>
  <si>
    <t>COZINHA</t>
  </si>
  <si>
    <t>FERNANDA RIBEIRO</t>
  </si>
  <si>
    <t>NUTRICIONISTA</t>
  </si>
  <si>
    <t>IM - % Conformidade de Inspeções - Nutrição</t>
  </si>
  <si>
    <t>IM - Custo Produtos de limpeza per capta - Cozinhas</t>
  </si>
  <si>
    <t>R$  1,65</t>
  </si>
  <si>
    <t>R$  1,57</t>
  </si>
  <si>
    <t>R$  1,61</t>
  </si>
  <si>
    <t>R$  1,53</t>
  </si>
  <si>
    <t>R$  1,76</t>
  </si>
  <si>
    <t>R$  1,67</t>
  </si>
  <si>
    <t>LEONARDO JOSE NUNES CAVALCANTE</t>
  </si>
  <si>
    <t>SUB-CHEF DE COZINHA</t>
  </si>
  <si>
    <t>IM - BH positivo A&amp;B - cozinha central</t>
  </si>
  <si>
    <t>R$  50,00</t>
  </si>
  <si>
    <t>IM - Custo total da Cozinha Central</t>
  </si>
  <si>
    <t>R$ 150,00</t>
  </si>
  <si>
    <t>WALTER VEGA</t>
  </si>
  <si>
    <t>CHEF DE COZINHA EXECUTIVO</t>
  </si>
  <si>
    <t>IM - Custo total da Cozinha central</t>
  </si>
  <si>
    <t>IM - Turnover - cozinha central</t>
  </si>
  <si>
    <t>WELLINGTON MANOEL DA SILVA</t>
  </si>
  <si>
    <t>GOVERNANCA</t>
  </si>
  <si>
    <t>ADRIANA VIEIRA DOS SANTOS</t>
  </si>
  <si>
    <t>SUP DE GOVERNANÇA SENIOR</t>
  </si>
  <si>
    <t>IM - % Reclamações UH</t>
  </si>
  <si>
    <t>R$  500,00</t>
  </si>
  <si>
    <t>IM - Custo total Governança</t>
  </si>
  <si>
    <t>IM - Inventário de enxoval</t>
  </si>
  <si>
    <t>ELIENE AURINO DA PIEDADE</t>
  </si>
  <si>
    <t>SUP DE GOVERNANÇA</t>
  </si>
  <si>
    <t>IM - Custo de lavanderia, amenities e frigobar</t>
  </si>
  <si>
    <t>IM - Custo de produtos de limpeza per capta (Resort)</t>
  </si>
  <si>
    <t>R$  1,22</t>
  </si>
  <si>
    <t>R$  1,16</t>
  </si>
  <si>
    <t>R$  1,20</t>
  </si>
  <si>
    <t>R$  1,14</t>
  </si>
  <si>
    <t>R$  1,25</t>
  </si>
  <si>
    <t>R$  1,19</t>
  </si>
  <si>
    <t>ISAAC DO NASCIMEN TO FARIAS</t>
  </si>
  <si>
    <t>IM - % Reclamações Limpeza - Áreas sociais</t>
  </si>
  <si>
    <t>IM - % Inventário mobiliário de praia e piscina</t>
  </si>
  <si>
    <t>LUZINETE DOS SANTOS MELO</t>
  </si>
  <si>
    <t>SUP DE GOVERNANÇA JUNIOR</t>
  </si>
  <si>
    <t>VALDILENE MARIA DOS SANTOS</t>
  </si>
  <si>
    <t>VERA LUCIA LEOPOLDINO DA SILVA</t>
  </si>
  <si>
    <t>VERÔNICA HORACIO</t>
  </si>
  <si>
    <t>GERENTE DE GOVERNANÇA</t>
  </si>
  <si>
    <t>IM - BH positivo Governança</t>
  </si>
  <si>
    <t>IM - Turnover Governança</t>
  </si>
  <si>
    <t>WELVERSON ALVES DA SILVA</t>
  </si>
  <si>
    <t>HOSPITALITY SERVICE</t>
  </si>
  <si>
    <t>ELYSSON THAWAN RODRIGUES GOMES</t>
  </si>
  <si>
    <t>ASSISTENTE DE HS</t>
  </si>
  <si>
    <t>IM - % de mensagens de boas vindas enviadas</t>
  </si>
  <si>
    <t>EWERTON NASCIMENTO</t>
  </si>
  <si>
    <t>IM - % Resposta do gerente no ReviewPro</t>
  </si>
  <si>
    <t>LUCAS FERNANDES DOS SANTOS</t>
  </si>
  <si>
    <t>MELQUISEDEQUE OLIVEIRA</t>
  </si>
  <si>
    <t>ESPORTE &amp; LAZER</t>
  </si>
  <si>
    <t>ANA CLAUDIA OLIVEIRA DA SILVA</t>
  </si>
  <si>
    <t>COORD DE ESPORTE E LAZER JR</t>
  </si>
  <si>
    <t>IM - Custo total Esporte &amp; Lazer</t>
  </si>
  <si>
    <t>FABIANA DRAEGER</t>
  </si>
  <si>
    <t>GER ESPORTE E LAZER</t>
  </si>
  <si>
    <t>IM - Turnover Lazer</t>
  </si>
  <si>
    <t>MANUTENCAO</t>
  </si>
  <si>
    <t>ANDERSON SOARES PONTES</t>
  </si>
  <si>
    <t>ENCARREGADO DE MANUTEÇÃO</t>
  </si>
  <si>
    <t>IM - % OS Atendidas</t>
  </si>
  <si>
    <t>IM - Reclamações Manutenção</t>
  </si>
  <si>
    <t>EUDEVAM GOMES DE LIMA</t>
  </si>
  <si>
    <t>EVERTON SANTOS</t>
  </si>
  <si>
    <t>GERENTE DE MANUTENÇÃO</t>
  </si>
  <si>
    <t>IM - BH positivo Manutenção</t>
  </si>
  <si>
    <t>IM - Custo Total Manutenção</t>
  </si>
  <si>
    <t>IM - Turnover Manutenção</t>
  </si>
  <si>
    <t>DANILO NUNES STACCIARINI</t>
  </si>
  <si>
    <t>GERENTE DE OPERAÇÕES</t>
  </si>
  <si>
    <t>IM - % de Conformidade Operações</t>
  </si>
  <si>
    <t>R$  1.500,00</t>
  </si>
  <si>
    <t>IM - Custo operacional (Grupo)</t>
  </si>
  <si>
    <t>R$  3.500,00</t>
  </si>
  <si>
    <t>R$  7.000,00</t>
  </si>
  <si>
    <t>R$  4.000,00</t>
  </si>
  <si>
    <t>PREMIUM CLASS</t>
  </si>
  <si>
    <t>AGENIZIO DOS SANTOS GOMES</t>
  </si>
  <si>
    <t xml:space="preserve">CHEF DE COZINHA </t>
  </si>
  <si>
    <t>IM - % Conformidade higienização e controle de alimentos - Cozinha Premium Class</t>
  </si>
  <si>
    <t>IM - BH positivo A&amp;B - cozinha Premium Class</t>
  </si>
  <si>
    <t>IM - Custo de A&amp;B per capta Premium Class</t>
  </si>
  <si>
    <t>R$  105,00</t>
  </si>
  <si>
    <t>R$  99,75</t>
  </si>
  <si>
    <t>CARLOS ANDRE</t>
  </si>
  <si>
    <t>MORDOMO</t>
  </si>
  <si>
    <t>IM - % Abordagem hóspedes Premium Class</t>
  </si>
  <si>
    <t>FÁBIO VIEIRA DA SILVA</t>
  </si>
  <si>
    <t>IM - % Inventário de utensílios e equipamentos de A&amp;B - Premium Class</t>
  </si>
  <si>
    <t>JAILSON VITAL BARBOSA</t>
  </si>
  <si>
    <t>SARAH FERNANDA DE ANDRADE ELIAS</t>
  </si>
  <si>
    <t>GERENTE DE OPERAÇÕES JR</t>
  </si>
  <si>
    <t>R$ 250,00</t>
  </si>
  <si>
    <t>IM - BH Positivo - Premium Class</t>
  </si>
  <si>
    <t>IM - % Conformidade Premium Class</t>
  </si>
  <si>
    <t>IM - Custo total Premium Class</t>
  </si>
  <si>
    <t>RECEPCAO</t>
  </si>
  <si>
    <t>ERIVALDO OLIVEIRA INACIO</t>
  </si>
  <si>
    <t>GERENTE DE RECEPCAO</t>
  </si>
  <si>
    <t>IM - Custo total Hospitalidade</t>
  </si>
  <si>
    <t>IM - Fechamento do mês sem contas pendentes</t>
  </si>
  <si>
    <t>SEGURANCA</t>
  </si>
  <si>
    <t>FÁBIO LIBERATO</t>
  </si>
  <si>
    <t>OPERADOR DE MONITORAMENTO</t>
  </si>
  <si>
    <t>IM - % Conformidade de auditoria de CFTV</t>
  </si>
  <si>
    <t>IM - Apontamento de situações anormais</t>
  </si>
  <si>
    <t>RODRIGO MONTENEGRO GONCALVES</t>
  </si>
  <si>
    <t>GERENTE DE SEGURANÇA</t>
  </si>
  <si>
    <t>IM - Custo total Segurança</t>
  </si>
  <si>
    <t>IM - Qtd de rondas concluídas</t>
  </si>
  <si>
    <t>QUALIDADE</t>
  </si>
  <si>
    <t>CARLOS HENRIQUE DOMINGOS OLIVEIRA LOPES</t>
  </si>
  <si>
    <t>ESPECIALISTA DE SGI</t>
  </si>
  <si>
    <t>IM - Nº de auditorias de SST e MA realizadas</t>
  </si>
  <si>
    <t>IM - % de cumprimento de prazo da programação do mês (SST-MA)</t>
  </si>
  <si>
    <t>ERIKA SANTOS ATAÍDE</t>
  </si>
  <si>
    <t>ASSISTENTE DE SGI PLENO</t>
  </si>
  <si>
    <t>IM - Nº de inspeções realizadas</t>
  </si>
  <si>
    <t>IM - Fechamento das menções e conformidades</t>
  </si>
  <si>
    <t>3º dia útil</t>
  </si>
  <si>
    <t>FRANKLIN MIRANDA DA SILVA</t>
  </si>
  <si>
    <t>ANALISTA DE SGI JUNIOR</t>
  </si>
  <si>
    <t>IM - Nº de processos novos e revisados no mês no zeev</t>
  </si>
  <si>
    <t>IM - SLA Tempo de atendimento do aplicativo Zeev</t>
  </si>
  <si>
    <t>JULIANA SANTOS SOARES</t>
  </si>
  <si>
    <t>COORD. DE QUALIDADE</t>
  </si>
  <si>
    <t>IM - Nº de reuniões para tratamento de não conformidades</t>
  </si>
  <si>
    <t>IM - Qtd de procedimentos novos e revisados no mês</t>
  </si>
  <si>
    <t>DAVI DA SILVA FERREIRA</t>
  </si>
  <si>
    <t>ASSISTENTE DE SGI JUNIOR</t>
  </si>
  <si>
    <t>IM - % Alcance da Pesquisa In House</t>
  </si>
  <si>
    <t>THAYNA SANTOS DE AZEVEDO</t>
  </si>
  <si>
    <t>IM - Qtd de auditorias realizadas no mês</t>
  </si>
  <si>
    <t>IDENTIFICADOR</t>
  </si>
  <si>
    <t>DATA</t>
  </si>
  <si>
    <t>MEDIDA</t>
  </si>
  <si>
    <t>FREQUENCIA</t>
  </si>
  <si>
    <t>VALOR da COLETA</t>
  </si>
  <si>
    <t>PERIODO</t>
  </si>
  <si>
    <t>Convertido para data</t>
  </si>
  <si>
    <t>DATA DE INSERÇÃO DO VALOR DA COLETA</t>
  </si>
  <si>
    <t>COMENTÁRIOS</t>
  </si>
  <si>
    <t>JWAX8U7K7PYFXOV</t>
  </si>
  <si>
    <t>Diária média</t>
  </si>
  <si>
    <t>R$</t>
  </si>
  <si>
    <t>Mensal</t>
  </si>
  <si>
    <t>Receita de diárias = R$7.524.157,12
Dividido por 
(UHs Alugadas + House Use + Free + Permuta + Day Use + Double Use + No Show Cobrado no Mês) = 5949 
R$7.524.157,12 / 5949 = R$1.264,78</t>
  </si>
  <si>
    <t>Receita de diárias = R$6.688.453.13
Dividido por 
(UHs Alugadas + House Use + Free + Permuta + Day Use + Double Use + No Show Cobrado no Mês) = 5481
R$6.688.453.13 / 5481= R$1220,30</t>
  </si>
  <si>
    <t>Receita de diárias = R$6.934.415,84
Dividido por 
(UHs Alugadas + House Use + Free + Permuta + Day Use + Double Use + No Show Cobrado no Mês) = 5881
R$6.934.415,84 / 5881= 1179,12</t>
  </si>
  <si>
    <t>Receita de diárias = R$9.532.603.49
Dividido por 
(UHs Alugadas + House Use + Free + Permuta + Day Use + Double Use + No Show Cobrado no Mês) = 6502
R$9.532.603.49 / 6502= 1.466,10</t>
  </si>
  <si>
    <t>Receita de diárias = R$6.670.732,91
Dividido por 
(UHs Alugadas + House Use + Free + Permuta + Day Use + Double Use + No Show Cobrado no Mês) = 6042
R$6.670.732,91 / 6042= 1.104,06</t>
  </si>
  <si>
    <t>Receita de diárias = R$7.492.775,16
Dividido por 
(UHs Alugadas + House Use + Free + Permuta + Day Use + Double Use + No Show Cobrado no Mês) = 6627
R$7.492.775,16 / 6648= 1.108,28</t>
  </si>
  <si>
    <t>Receita de diárias = R$7.251.827,38
Dividido por 
(UHs Alugadas + House Use + Free + Permuta + Day Use + Double Use + No Show Cobrado no Mês) = 5803
R$7.251.827,38 / 5836 = 1.242,60</t>
  </si>
  <si>
    <t>Receita de diárias = R$8.900.608,98
Dividido por 
(UHs Alugadas + House Use + Free + Permuta + Day Use + Double Use + No Show Cobrado no Mês) = 7146 
R$8.900.608,98 / 7146 = 1245,54</t>
  </si>
  <si>
    <t>Receita de diárias = R$8.294.740,06
Dividido por 
(UHs Alugadas + House Use + Free + Permuta + Day Use + Double Use + No Show Cobrado no Mês) = 6549
R$8.294.740,06 / 6575= 1.261,58</t>
  </si>
  <si>
    <t>Receita de diárias = R$12.696.769,13
Dividido por 
(UHs Alugadas + House Use + Free + Permuta + Day Use + Double Use + No Show Cobrado no Mês) = 7610
R$12.696.769,13 / 7610= 1.668,43</t>
  </si>
  <si>
    <t>323923KA41Y9XN1</t>
  </si>
  <si>
    <t>Diária média do site</t>
  </si>
  <si>
    <t>Vendas: R$ 322.992,81/  165 RN</t>
  </si>
  <si>
    <t>U42L1LS2G2BBFA4</t>
  </si>
  <si>
    <t>Diária média B2B</t>
  </si>
  <si>
    <t>R$4.762.635,6 / 3811 rns = 1.249,71</t>
  </si>
  <si>
    <t>R$4512711,61 / 3814 rns = R$1.183,20</t>
  </si>
  <si>
    <t>R$4.868.810,27 / 4255 rns = R$</t>
  </si>
  <si>
    <t>R$6.470.923,65 / 4718 Rns = 1.371,54</t>
  </si>
  <si>
    <t>R$4.324.390,45 / 4120 = 1.049,61</t>
  </si>
  <si>
    <t>R$5.069.859,47 / 4752 = 1.066,89</t>
  </si>
  <si>
    <t>R$4.838.128,74 / 4040 rns = R$1.197,56</t>
  </si>
  <si>
    <t>MWDM37DPQWIF9VO</t>
  </si>
  <si>
    <t>Diária média B2C</t>
  </si>
  <si>
    <t>R$2.761.521,52  / 2138 rns = 1.291,64</t>
  </si>
  <si>
    <t>R$2.175.741,52 / 1667 rns = R$1.305,18</t>
  </si>
  <si>
    <t>R$2065605,57  / 1626</t>
  </si>
  <si>
    <t>R$3.061.679,84 / 1784 Rns = 1.716,19</t>
  </si>
  <si>
    <t>R$2.346.342,46 / 1922 rns = 1.220,78</t>
  </si>
  <si>
    <t>R$2.422.915,69 / 1896 rns = 1.277,91</t>
  </si>
  <si>
    <t>R$2.413.698,64 / 1796 = R$1.343,93</t>
  </si>
  <si>
    <t>RNU2UWX2KT1P4G9</t>
  </si>
  <si>
    <t>ROB Grupo (Resort + Acqua Park)</t>
  </si>
  <si>
    <t>Realizado Hotel: R$14.226.557,21
Realizado Acqua: R$1.060.927,03</t>
  </si>
  <si>
    <t>ROB HOTEL = 7550517.74
ROB ACQUA = 650677,67</t>
  </si>
  <si>
    <t>ROB HOTEL = 6745066.55
ROB ACQUA = 470845.1</t>
  </si>
  <si>
    <t>ROB HOTEL = 7004805.16
ROB ACQUA = 583104.49</t>
  </si>
  <si>
    <t>ROB HOTEL = 9586347,42
ROB ACQUA = 382091.79</t>
  </si>
  <si>
    <t>ROB HOTEL = 6732883.59
ROB ACQUA = 216435.22</t>
  </si>
  <si>
    <t>ROB HOTEL = 7.539.227,38
ROB ACQUA = 291.599,37</t>
  </si>
  <si>
    <t>ROB HOTEL = 7.287.253,58
ROB ACQUA = 461.717,24</t>
  </si>
  <si>
    <t>ROB HOTEL = 8.972.755,96
ROB ACQUA = 518.429,21</t>
  </si>
  <si>
    <t>ROB HOTEL = 8371442,81
ROB ACQUA = 462981,57</t>
  </si>
  <si>
    <t>ROB HOTEL = 12756318,43
ROB ACQUA = 1032809,58</t>
  </si>
  <si>
    <t>LPTFI5A8BUCNU9W</t>
  </si>
  <si>
    <t>Vendas Grupo (Resort e Acqua Park)</t>
  </si>
  <si>
    <t>Acqua Park: 785.776,90
Resort: R$6.963.461,20
Total: R$7.749.238,10</t>
  </si>
  <si>
    <t>parque: 513.481,15
hotel: 7.204.947,16</t>
  </si>
  <si>
    <t>hotel = R$7.029.818,86
parque = R$494.137,14</t>
  </si>
  <si>
    <t>hotel = R$8.413.052,12
parque = R$367.741,41</t>
  </si>
  <si>
    <t>hotel = R$6.957.531,23
parque = R$319.435,33</t>
  </si>
  <si>
    <t>hotel = R$6.581.625,11
parque = R$283.104,60</t>
  </si>
  <si>
    <t>hotel = R$4.967.944,12
parque = R$147.002,97</t>
  </si>
  <si>
    <t>hotel = R$7.609.558,79
parque = R$178.188,78</t>
  </si>
  <si>
    <t>hotel = R$6.855.849,46
parque = R$339.860,07</t>
  </si>
  <si>
    <t>hotel = R$12.962.588,86
parque = R$410.130,85</t>
  </si>
  <si>
    <t xml:space="preserve">hotel = R$7.304.600,50
parque = R$282.893,09
</t>
  </si>
  <si>
    <t xml:space="preserve">hotel = R$7020784,83
parque = R$837.128,99
</t>
  </si>
  <si>
    <t>NMBR8S3XSI3MLPD</t>
  </si>
  <si>
    <t>Receita de Hospedagem B2B</t>
  </si>
  <si>
    <t>87XMDOPR4T2VLH9</t>
  </si>
  <si>
    <t>Vendas B2B</t>
  </si>
  <si>
    <t>CHFNLEUNREVODH9</t>
  </si>
  <si>
    <t>% de Engajamento Facebook Acqua Park</t>
  </si>
  <si>
    <t>%</t>
  </si>
  <si>
    <t>6G35C63U6B5LAOP</t>
  </si>
  <si>
    <t>% de Engajamento Facebook Resort</t>
  </si>
  <si>
    <t>1GX7OHNQK1CVI6Y</t>
  </si>
  <si>
    <t>% de Engajamento Instagram Acqua Park</t>
  </si>
  <si>
    <t xml:space="preserve">A apuração estava incorreta, por isso a mudança de valor. </t>
  </si>
  <si>
    <t>A meta no MID Goals está errada, a meta correta 2,35%</t>
  </si>
  <si>
    <t>XIM6T7LARXU93C1</t>
  </si>
  <si>
    <t>% de Engajamento Instagram Resort</t>
  </si>
  <si>
    <t xml:space="preserve">A apuração pelo Reportei estava incorreta, por isso a alteração no número. </t>
  </si>
  <si>
    <t xml:space="preserve">Os usuários do Instagram não aderem muito a conteúdos promocionais, são mais institucionais, porém no período de Black Friday é inevitável mesclar os dois conteúdos e também visto que temos a orientação de fazer uma conteúdo voltado para natureza, praia e não estrutura e alimentação do resort, nosso conteúdo atual contribui para baixo engajamento. </t>
  </si>
  <si>
    <t>A meta para o mês de outubro no MID Goals está incorreta, a meta correta é 2,30%</t>
  </si>
  <si>
    <t>8EDLT2T8MQXV6M8</t>
  </si>
  <si>
    <t>ROI global do Marketing</t>
  </si>
  <si>
    <t>Und</t>
  </si>
  <si>
    <t xml:space="preserve">Meta ok. 
</t>
  </si>
  <si>
    <t>A meta no Mid Goals está incorreta (R$ 50,52). 
A correta é R$ 43,12.</t>
  </si>
  <si>
    <t>UUNF7RSM8E33YLP</t>
  </si>
  <si>
    <t>REVPAR</t>
  </si>
  <si>
    <t>% de Ocupação x Diária Média
73,97% x 1264.78 = R$935,56</t>
  </si>
  <si>
    <t>% de Ocupação x Diária Média
70,43% x 1220,30 = R$859,46</t>
  </si>
  <si>
    <t>% de Ocupação x Diária Média
73,02% x 1.179,12 = R$860,99</t>
  </si>
  <si>
    <t>% de Ocupação x Diária Média
82,50% x 1.466,10 = 1.209,53</t>
  </si>
  <si>
    <t>% de Ocupação x Diária Média
80,44% x 1.104,06 = R$888,11</t>
  </si>
  <si>
    <t>% de Ocupação x Diária Média
85,76% x 1.127,07 = R$966,57</t>
  </si>
  <si>
    <t>% de Ocupação x Diária Média
75,62% x 1.249,67 = R$944,99</t>
  </si>
  <si>
    <t xml:space="preserve">% de Ocupação x Diária Média
87,18% x 1.245,54 = R$1.085,86
</t>
  </si>
  <si>
    <t>% de Ocupação x Diária Média
88,65% x 1.261,56 = R$1.118,37</t>
  </si>
  <si>
    <t>% de Ocupação x Diária Média
92,29% x 1.668,43 = R$1.539,79</t>
  </si>
  <si>
    <t>BSNNX3RS670BEF3</t>
  </si>
  <si>
    <t>ROB Hotelaria</t>
  </si>
  <si>
    <t>Planejado: R$39.000,00
Realizado: R$14.035.613,20</t>
  </si>
  <si>
    <t>HDMWWE91NJJJ1IY</t>
  </si>
  <si>
    <t>Ticket médio (ingresso Park)</t>
  </si>
  <si>
    <t xml:space="preserve">Valores tabulados dia 23/02, pois estava de férias. </t>
  </si>
  <si>
    <t xml:space="preserve">
</t>
  </si>
  <si>
    <t>LL0AGLT7AYF9741</t>
  </si>
  <si>
    <t>Vendas Acqua Park</t>
  </si>
  <si>
    <t>Valores tabulados dia 23/02, pois estava de férias.</t>
  </si>
  <si>
    <t>9Q5XU1KT1IFOV8C</t>
  </si>
  <si>
    <t>VGV Acqua Pass</t>
  </si>
  <si>
    <t>Relatorio por data de digitação.</t>
  </si>
  <si>
    <t>KJLL9XEN6VNJ043</t>
  </si>
  <si>
    <t>% de inadimplência gerencial (Resort e Park)</t>
  </si>
  <si>
    <t>BFHBPC12T95Q38N</t>
  </si>
  <si>
    <t>Fechamento de Caixa Diário (D+2)</t>
  </si>
  <si>
    <t>EXC5S5QCIEMJ5HJ</t>
  </si>
  <si>
    <t>Retenção em antecipados de cancelados My Pratagy</t>
  </si>
  <si>
    <t>Calculo para obtenção de porcentagem: Valor retido (ganho de capital + uso futuro + valor utilizado) dividido pelo valor recebido.
123.634,17+ 8.095,00+ 3993,36 = 135.722,53
135.722,53 / 186.853,22 = 72,635%
39 Contratatos cancelados.</t>
  </si>
  <si>
    <t>Calculo para obtenção de porcentagem: Valor retido (ganho de capital + uso futuro + valor utilizado) dividido pelo valor recebido.
128.668,19 / 171.219,85 = 75,148%
50 Contratatos cancelados.</t>
  </si>
  <si>
    <t>Calculo para obtenção de porcentagem: Valor retido (ganho de capital + uso futuro + valor utilizado) dividido pelo valor recebido.
129.078,05 / 156.573,27 = 80,889%
26 Contratatos cancelados.</t>
  </si>
  <si>
    <t>Calculo para obtenção de porcentagem: Valor retido (ganho de capital + uso futuro + valor utilizado) dividido pelo valor recebido.
206.761,21 / 259.881,73 = 79,559%
85 Contratatos cancelados.</t>
  </si>
  <si>
    <t>Calculo para obtenção de porcentagem: Valor retido (ganho de capital + uso futuro + valor utilizado) dividido pelo valor recebido.
74.694,27 / 92.242,28= 80,97%
22 Contratatos cancelados.</t>
  </si>
  <si>
    <t xml:space="preserve">Calculo para obtenção de porcentagem: Valor retido (ganho de capital + uso futuro + valor utilizado) dividido pelo valor recebido.
104.072,00 / 137.809,49 = 75,551%
38 Contratatos cancelados.
</t>
  </si>
  <si>
    <t>Calculo para obtenção de porcentagem: Valor retido (ganho de capital + uso futuro + valor utilizado) dividido pelo valor recebido.
13.474,24 / 47.647,86 = 28,278%
20 Contratatos cancelados.
1º mês com a nova tratativa (apenas durante os últimos 15 dias do mês).</t>
  </si>
  <si>
    <t>TSW6D3CLPOASL61</t>
  </si>
  <si>
    <t>Fechamento Mensal do Financeiro</t>
  </si>
  <si>
    <t xml:space="preserve">Fechamento do Financeiro, realizado no 3º dia útil. </t>
  </si>
  <si>
    <t>18OFQRD92YTQTOV</t>
  </si>
  <si>
    <t>Geração de caixa operacional</t>
  </si>
  <si>
    <t>7IUXFT40SHTDND3</t>
  </si>
  <si>
    <t>% Inventário de Almoxarifado</t>
  </si>
  <si>
    <t>1P08H6OITEUV3MQ</t>
  </si>
  <si>
    <t>Estoque imobilizado</t>
  </si>
  <si>
    <t>S723IMFQI52Q9RH</t>
  </si>
  <si>
    <t>Índice do Custo de Compras Pratagy (A&amp;B)</t>
  </si>
  <si>
    <t>Ind</t>
  </si>
  <si>
    <t>O índice nacional IBGE para alimentos e bebidas foi de 0,27%.
Ficamos 0,21p.p. abaixo da inflação nacional.</t>
  </si>
  <si>
    <t>O IBGE divulgou o inflação no país para alimentos e bebidas em -0,01%.
Fechamos -0,16p.p abaixo da inflação oficial.</t>
  </si>
  <si>
    <t>A busca e negociação efetiva de em alguns itens da curva "A" como a coxa c/ sobre coxa de frango - o ovo de galinha - a maminha - o limão e água de coco neste mês puxaram nossa inflação para este favorável índice.</t>
  </si>
  <si>
    <t>TI5LVQNQ2LTKNX5</t>
  </si>
  <si>
    <t>Índice do Custo de Compras Pratagy (MANUT)</t>
  </si>
  <si>
    <t>O índice geral para medição da inflação de materiais de manutenção e obras, divulgado pelo IBGE, foi de 0,33%.   
Fechamos em -0,32p.p. resultado final (- 0,65p.p. abaixo da inflação oficial).</t>
  </si>
  <si>
    <t>O índice geral para medição da inflação de materiais de manutenção e obras, divulgado pelo IBGE, foi de 0,18%.   
Fechamos em -0,14p.p. resultado final (- 0,32p.p. abaixo da inflação oficial).</t>
  </si>
  <si>
    <t>6FLC20XK3XX488G</t>
  </si>
  <si>
    <t>Fechamento contábil (Grupo)</t>
  </si>
  <si>
    <t>Meta e realizado revisado e validado
O fechamento contábil foi concluído no 7º dia útil, atingindo a meta estabelecida.</t>
  </si>
  <si>
    <t xml:space="preserve">Meta e realizado revisado e validado
O fechamento contábil foi concluído no 6º dia útil, atingindo a supermeta estabelecida.
A equipe conseguiu cumprir todas as etapas de conciliação, validação e maior número de ajustes necessários sem atrasos. E com o encerramento do exercício de 2025 permitirá mantermos esse padrão de excelência nos próximos ciclos, consolidando cada vez mais a eficiência e a credibilidade de nossos processos contábeis.
 </t>
  </si>
  <si>
    <t>Meta e realizado revisado e validado
O fechamento contábil foi concluído no 6º dia útil, atingindo a supermeta estabelecida. Esse resultado evidencia a integração entre as áreas, com disponibilização de dados mais precisos e consistentes, que permitiram uma análise mais ágil das contas contábeis, redução significativa de erros e diminuição da necessidade de retrabalho.
Conforme discutido em reunião anterior, a padronização do processo de registros no contas a pagar torna-se indispensável, diante do elevado volume de lançamentos e da participação de diversos colaboradores. A reincidência de erros já identificados e alinhados anteriormente reforça a relevância dessa iniciativa. O setor financeiro, em conjunto com a área de qualidade, está implementando as ações necessárias para garantir maior eficiência e uniformidade nos procedimentos.</t>
  </si>
  <si>
    <t>O fechamento contábil foi concluído no 6º dia útil, mantendo a consistência observada nos últimos fechamentos, que vem se consolidando entre o 5º e o 6º dia, refletindo  avanços nos processos internos. A equipe segue comprometida com a melhoria contínua, focando na redução do tempo de execução, na precisão e na entrega das informações, o que vem permitindo conciliações recorrentes ao longo do mês, facilitando correções e evitando acúmulos de pendências</t>
  </si>
  <si>
    <t>A meta estabelecida para o fechamento contábil foi atingida com êxito no 5º dia útil, superando pela 2ª vez consecutiva a supermeta que é o 6º dia útil. Apesar dos avanços obtidos em diversas frentes, como por exemplo, a antecipação do fechamento da folha, ainda foram observados gargalos em processos internos do PARK pela não automatização completa, cujo primeiro plano de ação que foi a restrição ao acesso de cadastro de produtos no sistema Multiclubes não foi suficiente para reduzir o esforço do financeiro e contabilidade na validação dos registros comprometendo o fechamento de caixa, com reflexos diretos nas áreas fiscal e contábil. Outros gargalos foram mapeados e estão sendo priorizados pelo financeiro para tratamento nas próximas etapas do plano de ação, com foco na revisão de fluxos operacionais juntamente com os gestores das áreas competentes.</t>
  </si>
  <si>
    <t>6WECVQG9URDMSQQ</t>
  </si>
  <si>
    <t>Consolidação dos indicadores da Controladoria</t>
  </si>
  <si>
    <t>Uns</t>
  </si>
  <si>
    <t>Fechado no sétimo dia útil</t>
  </si>
  <si>
    <t>XX42CB328MJJQ71</t>
  </si>
  <si>
    <t>Custo total</t>
  </si>
  <si>
    <t>AAK7W4N4MWIQ373</t>
  </si>
  <si>
    <t>Custo total Controladoria</t>
  </si>
  <si>
    <t>Planejado: R$1.117.371,13
Realizado: R$1.027.674,21</t>
  </si>
  <si>
    <t>Planejado: R$1.107.535,35
Realizado: R$983.202,34</t>
  </si>
  <si>
    <t>Planejado: R$810.635,14
Realizado: R$715.087,36</t>
  </si>
  <si>
    <t>Meta: 1070732,88</t>
  </si>
  <si>
    <t>Meta 1066096,05</t>
  </si>
  <si>
    <t>Meta 998526,77</t>
  </si>
  <si>
    <t>RFPWT2TKK3EWAK2</t>
  </si>
  <si>
    <t>Índice do Custo de Compras Pratagy (GERAL)</t>
  </si>
  <si>
    <t>O índice nacional IBGE para inflação geral (IPCA) foi de 0,33%.
Ficamos 0,35p.p. abaixo do índice nacional.</t>
  </si>
  <si>
    <t>O índice geral de inflação em novembro, divulgado pelo IBGE, foi de 0,18%.   
Fechamos em -0,14p.p. resultado final (- 0,32p.p. abaixo da inflação oficial).</t>
  </si>
  <si>
    <t>KP2DP7I6RG9AO26</t>
  </si>
  <si>
    <t>Performance de recebimento My Pratagy</t>
  </si>
  <si>
    <t>BDKFTVASA7GFIVA</t>
  </si>
  <si>
    <t>Fechamento mensal do financeiro - My Pratagy</t>
  </si>
  <si>
    <t>97RI6KWHIDQPUKU</t>
  </si>
  <si>
    <t>% Atendimentos de Chamados no TIC</t>
  </si>
  <si>
    <t>BU3M4RE3MFXGYB0</t>
  </si>
  <si>
    <t>Custo orçamentário do TIC</t>
  </si>
  <si>
    <t>N23J1702V6QEKNH</t>
  </si>
  <si>
    <t>% de Fechamento de vagas operacionais no prazo</t>
  </si>
  <si>
    <t>10/16 vagas operacionais fechadas no prazo</t>
  </si>
  <si>
    <t>MHGK7MC6MA7EB2N</t>
  </si>
  <si>
    <t>% de Aderência a avaliação de experiência</t>
  </si>
  <si>
    <t>45 DIAS: 6/16
90 DIAS: 0/10</t>
  </si>
  <si>
    <t>XPL5Y5BFP74ROXF</t>
  </si>
  <si>
    <t>% de Fechamento de vagas geral no prazo</t>
  </si>
  <si>
    <t>15/21 vagas gerais concluidas no prazo.</t>
  </si>
  <si>
    <t>EIMB95Q6K7JASXB</t>
  </si>
  <si>
    <t>% de retenção de novos colaboradores</t>
  </si>
  <si>
    <t>10/14 colaboradores novos retidos.</t>
  </si>
  <si>
    <t>S7QVS0BSGD3C3TT</t>
  </si>
  <si>
    <t>Custo de salários, eventos e consumo interno</t>
  </si>
  <si>
    <t>Salários + consumo(requisição de materiais) do setor de Gente &amp; Gestão</t>
  </si>
  <si>
    <t>CQY18U2PHHR3K3N</t>
  </si>
  <si>
    <t>Custo de folha de pagamento Grupo Pratagy (Resort, AP e MP)</t>
  </si>
  <si>
    <t>Planejado: R$1.921.572,77
Realizado: R$1.823.859,11
Ajustado considerando as rubricas: Salários; Adicionais salariais; encargos sociais, benefícios.</t>
  </si>
  <si>
    <t>Planejado: R$1.952.938,81
Realizado: R$2.089.141,96
Ajustado considerando as rubricas: Salários; Adicionais salariais; encargos sociais, benefícios.</t>
  </si>
  <si>
    <t>Planejado: R$1.926.129,13
Ajustado considerando as rubricas: Salários; Adicionais salariais; encargos sociais, benefícios.</t>
  </si>
  <si>
    <t xml:space="preserve">*Meta atingida.
Orçado R$1.914.919,94
Realizado R$1.797.315,40 (93,86%)
Economia de R$117.604,54
Salário Orç.: R$ 951.775,84
Salário Real.: R$ 951.116,21
Adic. Salariais Orç.: R$ 59.657,38
Adic. Salariais Real.: R$ 42.266,60
Encargos Orç.: R$ 469.523,53
Encargos Real.: R$ 439.190,09
Benefícios Orç.: R$ 433.963,19
Benefícios Real.: R$ 364.742,50
Houve saving em todas as rubricas. </t>
  </si>
  <si>
    <t>I79NONJQGUJQ8BS</t>
  </si>
  <si>
    <t>Qtd de horas positivas (BH)</t>
  </si>
  <si>
    <t>h</t>
  </si>
  <si>
    <t>Como tivemos dois feriados onde foram feitas 2591 horas horas a redução de um mês para o outro foi de apenas 82 horas equivalente a 1,04 %.
O real seria:
Somando o saldo dos feriados + a competência anterior o saldo ficou até o dia 25/12/2025 10.608 horas.
Como o saldo atual está em 7.934 horas, isso significa que na realidade foram compensadas 2.674 horas. (33,7%).</t>
  </si>
  <si>
    <t>Aumento de 2,2% muito por contas dos três feriados, dias 02,15 e 20/11/2025:
Desconsiderando os feriados ficou desta forma:
Saldo anterior 7:844:29  + horas realizadas nos feriados 4:211:00 = 12:055:01 - correto dizer que compensamos na verdade 4:038 horas 33%</t>
  </si>
  <si>
    <t>Em setembro estamos com 9367 horas, antes do fechamento de Outubro tivemos o feriado do dia 12/10, neste dia fizemos + 1225 horas, somando ao saldo anterior significa que hoje estaríamos com 10.592 horas.
Saldo atual de Outubro 7844, isso indica que conseguimos compensar um total 2748 horas. (25%)</t>
  </si>
  <si>
    <t>P5M9GVDHOXHOIQU</t>
  </si>
  <si>
    <t>Turnover de substituição</t>
  </si>
  <si>
    <t>9 desligamentos
385 colaboradores CLT em dezembro
28 colaboradores PJ em dezembro</t>
  </si>
  <si>
    <t xml:space="preserve">Para a contagem do indicador foi levado em consideração 18 desligamentos com substituição e 412 colaboradores no mês anterior. 
Em dezembro tivemos 22 desligamentos: 16 colaboradores pediram e 6 foram desligados pela empresa. 
O maior numero de colaboradores desligados vem do setor de AEB que teve um total de 9 desligamentos, dos quais 7 solicitaram desligamento. 
Tivemos desligamentos de diversos setores como Premium, Lazer, Recepção, Acqua Park e manutenção. Além desses também tivemos desligamentos de setores administrativos (4) e jovens aprendizes (2).
1 deles foi realizado por abandono de emprego e 2 por mudança no formato de contratação. 
Entre as princiais motivações, destacam-se outras oportunidades e falta de alinhamento com a gestão. 
</t>
  </si>
  <si>
    <t>Nº de colaboradores no último dia do mês anterior: 410
Nº de demissões com substituição: 12</t>
  </si>
  <si>
    <t>Número total de colaboradores CLT e PJ no ultimo dia do mês anterior : 432
Número de demissões com substituição: 19</t>
  </si>
  <si>
    <t>PRQNVPAOU1EOBY2</t>
  </si>
  <si>
    <t>% Absenteísmo</t>
  </si>
  <si>
    <t xml:space="preserve">Horas previstas 57:349 - Horas faltas sem justificativas: 21 dias= 102:00.
Horas justificadas com atestados: 150 dias = 1:080 horas
Total de horas faltantes: 1:182
</t>
  </si>
  <si>
    <t>Horas previstas 58:660:10 - REALIZADAS 54:567:49 - NÃO REALIZADAS, ATESTADOS E FLATAS = 1:646:30</t>
  </si>
  <si>
    <t>Horas previstas 57:483:20 / horas ausentes 1:353:33 = 2,35%</t>
  </si>
  <si>
    <t>.</t>
  </si>
  <si>
    <t xml:space="preserve">Meta de 3,5% ao mês, atingido e realizado o valor de 2,11% de absenteísmo.
</t>
  </si>
  <si>
    <t xml:space="preserve">Meta de 3,5% ao mês, atingido e realizado o valor de 2,49% de absenteísmo.
</t>
  </si>
  <si>
    <t>Meta de 3,5% ao mês, atingido e realizado o valor de 2,43% de absenteísmo.</t>
  </si>
  <si>
    <t>Meta de 3,5% ao mês, atingido e realizado o valor de 2,57% de absenteísmo.</t>
  </si>
  <si>
    <t>Meta de 3,5% ao mês, atingido e realizado o valor de 2,54% de absenteísmo.</t>
  </si>
  <si>
    <t>5N5GHTE6DHSJSLC</t>
  </si>
  <si>
    <t>Fechamento dos relatórios DP (contabilidade)</t>
  </si>
  <si>
    <t>Entregue no segunado dia util, não foi entregue no dia 1 devido a falta de um documento de uma PF, que prestou serviços na confraternização, ficamos no aguardo das informações.</t>
  </si>
  <si>
    <t>V21R83QT5URQ57O</t>
  </si>
  <si>
    <t>% Conformidade da auditoria de ponto (responsabilidade DP)</t>
  </si>
  <si>
    <t>Ocorrências envolvendo o Departamento Pessoal:
1. Governança: O colaborador Welverson Alves teve compensa no feriado dia 01/01, aumentando o saldo negativo de 11:00 para 18:20.
2. Segurança: Necessário ajustas a escala de trabalho do colaborador Tarciso José Santos da Silva, pois está gerando um saldo de horas negativas de 3h20 por semana para compensar horas extras feitas durante a semana.</t>
  </si>
  <si>
    <t>Ocorrências envolvendo o Departamento Pessoal:
1. A&amp;B: O ponto do colaborador Kauan Barros no dia 08/12 (feriado) contabilizou as horas extras e também as horas negativas. 
2. Acqua Park: No período de 16 a 23 de dezembro (8 dias) não consta folga programada para o colaborador Joao Victor Custodio do Nascimento, o que está registrado é uma compensa no dia 23/12, quando deveria haver uma folga. A compensa reduziu o BH, mas gerou um risco de ação trabalhista para a empresa.
3. Segurança: 
1. No dia 17/12/2025 O colaborador Genivaldo Santos de Oliveira não registrou horário de intervalo e não consta ajuste por parte do gestor ou DP, infringindo a
legislação e gerando saldo de horas extras;
2. A escala do colaborador Genivaldo Santos de Oliveira está prevista para 40h40 semanais, faltando 3h20 para completar a carga horário de 44h semanais, por estemotivo estão sendo geradas 3h20 de extras semanalmente;
3. No dia 17/12/2025 O colaborador Jose Carlos Goncalves de Lima não registrou horário de intervalo e não consta ajuste por parte do gestor ou DP, infringindo a legislação e gerando saldo de horas extras;
4. A escala do colaborador Jose Carlos Goncalves de Lima está prevista para 40h40 semanais, faltando 3h20 para completar a carga horário de 44h semanais, por este motivo estão sendo geradas 3h20 de extras semanalmente;
5. No dia 17/12/2025 O colaborador Tarciso Jose Santos Da Silva não registrou horário de intervalo e não consta ajuste por parte do gestor ou DP, infringindo a legislação e gerando saldo de horas extras;
6. No dia 17/12/2025 O colaborador Valmir Silva de Oliveira não registrou horário de intervalo e não consta ajuste por parte do gestor ou DP, infringindo a
legislação e gerando saldo de horas extras;
7. A escala do colaborador Valmir Silva de Oliveira está prevista para 40h40 semanais, faltando 3h20 para completar a carga horário de 44h semanais, por este motivo estão sendo geradas 3h20 de extras semanalmente;
8. Necessário ajustar a escala de trabalho do colaborador Tarciso Jose Santos Da Silva, pois está gerando um saldo de horas negativas de 3h20 por semana para compensar horas extras feitas durante a semana;
9. No dia 17/12/2025 O colaborador Cicero Da Silva Lima não registrou horário de intervalo e não consta ajuste por parte do gestor ou DP, infringindo a legislação e gerando saldo de horas extras.</t>
  </si>
  <si>
    <t>678IK9HLP9D6NSM</t>
  </si>
  <si>
    <t>Fechamento das inconformidades do ponto eletrônico</t>
  </si>
  <si>
    <t>SJFAQ5QL5DNXBYM</t>
  </si>
  <si>
    <t>% de chamados atendidos no prazo (DP / Zeev)</t>
  </si>
  <si>
    <t>CW28NHBTFW413IE</t>
  </si>
  <si>
    <t>Qtd de ASOs vencidos no mês</t>
  </si>
  <si>
    <t>P33HHEBN95B1FUY</t>
  </si>
  <si>
    <t>% de contratos vigentes My Pratagy</t>
  </si>
  <si>
    <t>Total de contratos - 1.292
Contratos vigentes - 625</t>
  </si>
  <si>
    <t>F8TA2ISWNUKWFG6</t>
  </si>
  <si>
    <t>% Conformidade Gerência Geral</t>
  </si>
  <si>
    <t>QLHAUL29RWQGVWK</t>
  </si>
  <si>
    <t>EBITDA Hotelaria</t>
  </si>
  <si>
    <t>Planejado 6684188,48</t>
  </si>
  <si>
    <t>Meta: 1661.839,44</t>
  </si>
  <si>
    <t>Meta: 1400871,08</t>
  </si>
  <si>
    <t>Meta 1133092,93</t>
  </si>
  <si>
    <t>Meta 3571277,63</t>
  </si>
  <si>
    <t>F4BW8D6GCDBDWMD</t>
  </si>
  <si>
    <t>% Conformidade da manutenção Acqua Park</t>
  </si>
  <si>
    <t>H5WQCSE59YO9BK6</t>
  </si>
  <si>
    <t>% Checklists aplicados da manutenção Acqua Park</t>
  </si>
  <si>
    <t>XTFDYG1CCGXXXFD</t>
  </si>
  <si>
    <t>NPS Acqua Park</t>
  </si>
  <si>
    <t>M6PEYR4BB5FUFMA</t>
  </si>
  <si>
    <t>Turnover Acqua Park</t>
  </si>
  <si>
    <t>NENHUM DESLIGAMENTO NO PERÍODO</t>
  </si>
  <si>
    <t>SMMN4LYGGTC2BJI</t>
  </si>
  <si>
    <t>Custo total Acqua Park</t>
  </si>
  <si>
    <t>super Meta atingida 
Meta 250.268,67</t>
  </si>
  <si>
    <t>7IVC5SQ8LX3R5NL</t>
  </si>
  <si>
    <t>% Insatisfação com serviços de A&amp;B</t>
  </si>
  <si>
    <t>3PQRK7CTUN5RAD0</t>
  </si>
  <si>
    <t>% Inventário de utensílios e equipamentos de A&amp;B - Premium Class</t>
  </si>
  <si>
    <t>meta</t>
  </si>
  <si>
    <t>7DQ1VL1QO2WRR36</t>
  </si>
  <si>
    <t>% Inventário de utensílios e equipamentos de A&amp;B</t>
  </si>
  <si>
    <t>Perca de 4%</t>
  </si>
  <si>
    <t>80USPAXTM4BIAVY</t>
  </si>
  <si>
    <t>Insumos de A&amp;B</t>
  </si>
  <si>
    <t>SDPEWBGJ7KDOACF</t>
  </si>
  <si>
    <t>Custo de A&amp;B</t>
  </si>
  <si>
    <t>A ocupação atípica dos dias 09,10 e 11 neste mês - adolescentes - em que não houve consumo de bebidas alcóolicas contribuiu muito para o atingimento da meta.</t>
  </si>
  <si>
    <t>Índice ficou 2,61% acima da meta puxado pelo grupo de bebidas.
Alimentos fechou (1%) abaixo da meta enquanto o grupo de bebidas fechou 11,9% acima do orçado.</t>
  </si>
  <si>
    <t>Índice ficou 4,9% acima da meta orçada que é de 95,00.
Alimentos fechou 5.900,00 (0,7%) acima enquanto o grupo de bebidas 48.700 (16,1%) acima do orçamento.</t>
  </si>
  <si>
    <t>R9T8RE0J975MONJ</t>
  </si>
  <si>
    <t>BH positivo A&amp;B - cozinha Premium Class</t>
  </si>
  <si>
    <t>Aumento de 16% referente as horas positivas.</t>
  </si>
  <si>
    <t>Aumento de 64,5%</t>
  </si>
  <si>
    <t>meta batida</t>
  </si>
  <si>
    <t>não foi batido a meta.</t>
  </si>
  <si>
    <t>364I8NJPWPBDXIW</t>
  </si>
  <si>
    <t>BH positivo A&amp;B</t>
  </si>
  <si>
    <t>Redução de 7 %</t>
  </si>
  <si>
    <t>redução 3%</t>
  </si>
  <si>
    <t>redução de 15%</t>
  </si>
  <si>
    <t>7GRCIABBLP76Y4L</t>
  </si>
  <si>
    <t>BH positivo A&amp;B - cozinha central</t>
  </si>
  <si>
    <t>Redução de 9 %</t>
  </si>
  <si>
    <t>redução 7%</t>
  </si>
  <si>
    <t>redução 17%</t>
  </si>
  <si>
    <t>RWT38QKIA4VEV5U</t>
  </si>
  <si>
    <t>Custo FOPAG - A&amp;B</t>
  </si>
  <si>
    <t>Planejado: R$521.704,38
Realizado: R$477.906,29</t>
  </si>
  <si>
    <t>Planejado: R$562.206,22
Realizado: R$559.831,87</t>
  </si>
  <si>
    <t>Planejado: R$616.505,64
Realizado: R$497.258,66</t>
  </si>
  <si>
    <t xml:space="preserve">*Total Planejado: R$ 486.239,87
Salário Orç.: R$ 212.175,85
Salário Real.: R$ 214.201,39
Adic. Salariais Orç.: R$ 12.317,00
Adic. Salariais Real.: R$ 14.932,42
Encargos Orç.: R$ 95.991,57
Encargos Real.: R$ 96.097,30
Benefícios Orç.: R$ 103.961,61
Benefícios Real.: R$ 44.171,41
</t>
  </si>
  <si>
    <t xml:space="preserve">*Total Planejado: R$ 438.018,84
Salário Orç.: R$ 222.075,49
Salário Real.: R$ 218.344,59
Adic. Salariais Orç.: R$ 4.541,00
Adic. Salariais Real.: R$ 7.822,81
Encargos Orç.: R$ 95.422,19
Encargos Real.: R$ 106.482,21
Benefícios Orç.: R$ 115.980,16
Benefícios Real.: R$ 59.633,87
</t>
  </si>
  <si>
    <t xml:space="preserve">*Total Planejado: R$ 447.255,49
Salário Orç.: R$ 231.350,15
Salário Real.: R$ 219.217,94
Adic. Salariais Orç.: R$ 4.541,00 
Adic. Salariais Real.: R$ 5.462,10
Encargos Orç.: R$ 95.153,49
Encargos Real.: R$ 98.599,30
Benefícios Orç.: R$ 116.210,85
Benefícios Real.: R$ 72.002,55
</t>
  </si>
  <si>
    <t>LD61XDXX3DFUG4J</t>
  </si>
  <si>
    <t>Turnover A&amp;B</t>
  </si>
  <si>
    <t>4 colaboradores desligados em janeiro
108 colaboradores clt em dezembro</t>
  </si>
  <si>
    <t>Nº de colaboradores no último dia do mês anterior: 111
Nº de demissões com substituição: 9
Cozinha: 5 colaboradores (2 pela empresa e 3 pelo colaborador)
Bar e Restaurante: 4 colaboradores (colaborador)</t>
  </si>
  <si>
    <t>Nº de colaboradores no último dia do mês anterior: 106
Nº de demissões com substituição: 5</t>
  </si>
  <si>
    <t>Nº de colaboradores no último dia do mês anterior: 100
Nº de demissões com substituição: 8</t>
  </si>
  <si>
    <t>W6SQ4HTSYIP87SK</t>
  </si>
  <si>
    <t>Custo total da Cozinha central</t>
  </si>
  <si>
    <t>TVYMK4DEII6UWD9</t>
  </si>
  <si>
    <t>Turnover - cozinha central</t>
  </si>
  <si>
    <t>4 colaboradores desligados em janeiro
63 colaboradores em dezembro</t>
  </si>
  <si>
    <t>Nº de colaboradores no último dia do mês anterior: 65
Nº de demissões com substituição: 5
Cozinha central: 3 colaboradores (2 pela empresa e 1 pelo colaborador)
Cozinha Florestal: 2 colaboradores (1 pela empresa e 1 pelo colaborador)</t>
  </si>
  <si>
    <t>Nº de colaboradores no último dia do mês anterior: 59
Nº de demissões com substituição: 3</t>
  </si>
  <si>
    <t>PN9EDWXLFXWWYKR</t>
  </si>
  <si>
    <t>Custo total Governança</t>
  </si>
  <si>
    <t>VBDXSO01S382BLF</t>
  </si>
  <si>
    <t>% Inventário de enxoval - Governança</t>
  </si>
  <si>
    <t>SFINQELCYS51OSA</t>
  </si>
  <si>
    <t>Custo de lavanderia</t>
  </si>
  <si>
    <t>A variação entre os meses de set e out se deu mais em razão do fechamento da lavanderia de setembro no dia 27. Ou seja, os 4 últimos ddias deste mês foram registrados na planilha do mês de outubro.</t>
  </si>
  <si>
    <t>OHVV1M5A7A087UD</t>
  </si>
  <si>
    <t>Inventário mobiliário de praia e piscina</t>
  </si>
  <si>
    <t>GS0GMA286VGYUQV</t>
  </si>
  <si>
    <t>BH positivo Governança</t>
  </si>
  <si>
    <t>Aumento de 31 %</t>
  </si>
  <si>
    <t>2X74ERLPLTTWBYB</t>
  </si>
  <si>
    <t>Turnover Governança</t>
  </si>
  <si>
    <t>2 colaboradores desligados
56 colaboradores clt em dezembro</t>
  </si>
  <si>
    <t>Nº de colaboradores no último dia do mês anterior: 57
Nº de demissões com substituição: 0</t>
  </si>
  <si>
    <t>Nº de colaboradores no ultimo dia do mês anterior: 55
Nº de Desligamentos com substituição no período: 1</t>
  </si>
  <si>
    <t>NITPVEGNUSHQT6T</t>
  </si>
  <si>
    <t>% Resposta do gerente no ReviewPro</t>
  </si>
  <si>
    <t xml:space="preserve">Estou considerando o número atual do Review, mas, foram respondidas 100% das avaliações. Esse divergência é decorrente de uma resposta que o expedia ainda não aprovou. </t>
  </si>
  <si>
    <t>100%, no sistema está 99% porque teve uma avaliação da Expedia que não atualizou e irei colocar na evidencia</t>
  </si>
  <si>
    <t>A41CEHJJA3VDWV6</t>
  </si>
  <si>
    <t>Custo total Esporte &amp; Lazer</t>
  </si>
  <si>
    <t>QFH5HT8BFPWX5VV</t>
  </si>
  <si>
    <t>% OS Atendidas</t>
  </si>
  <si>
    <t xml:space="preserve">atingiu a super meta 
foram abertos 962
fechados 928 </t>
  </si>
  <si>
    <t xml:space="preserve">atingido super meta 
foram criados e fechados 1321 chamados </t>
  </si>
  <si>
    <t>atingindo super meta 
abertos e fechados 1092</t>
  </si>
  <si>
    <t>atigindo a super meta 
foram abertos 990
encerrados 973</t>
  </si>
  <si>
    <t>AJ24P6D2FE5P9S8</t>
  </si>
  <si>
    <t>BH Positivo Manutenção</t>
  </si>
  <si>
    <t>Redução de 39%</t>
  </si>
  <si>
    <t>não atingiu a meta 16%</t>
  </si>
  <si>
    <t>não atinigiu valor da meta 16 %</t>
  </si>
  <si>
    <t>62OGQFL1YKMBQ7D</t>
  </si>
  <si>
    <t>Custo total Manutenção</t>
  </si>
  <si>
    <t>Valor informado por Danilo.</t>
  </si>
  <si>
    <t>Informação Mid Goals.</t>
  </si>
  <si>
    <t>W3AQG7B9AN1DX1R</t>
  </si>
  <si>
    <t>Turnover Manutenção</t>
  </si>
  <si>
    <t>2 DESLIGAMENTOS EM JANEIRO
21 COLABORADORES EM DEZEMBRO</t>
  </si>
  <si>
    <t>Nº de colaboradores no último dia do mês anterior: 22
Nº de demissões com substituição: 0</t>
  </si>
  <si>
    <t>Nº de colaboradores no último dia do mês anterior: 23
Nº de demissões com substituição: 1</t>
  </si>
  <si>
    <t xml:space="preserve"> Nº de colab. da Manutenção no mês anterior: 21
Número de demissões com substituição: 2</t>
  </si>
  <si>
    <t>676CGU3DQUVW9US</t>
  </si>
  <si>
    <t>Custo operacional (Grupo)</t>
  </si>
  <si>
    <t>5D1CA8QCCX93CF6</t>
  </si>
  <si>
    <t>% Conformidade higienização e controle de alimentos - Cozinha Premium Class</t>
  </si>
  <si>
    <t>1TKBDY2G4XQXBWX</t>
  </si>
  <si>
    <t>BH Positivo - Premium Class</t>
  </si>
  <si>
    <t>Redução de 3 %</t>
  </si>
  <si>
    <t>Aumento de 13 horas</t>
  </si>
  <si>
    <t>Redução de 1%</t>
  </si>
  <si>
    <t>Redução de 29%</t>
  </si>
  <si>
    <t>Redução de 11 %</t>
  </si>
  <si>
    <t>Redução de 10%</t>
  </si>
  <si>
    <t xml:space="preserve">Redução de 3% </t>
  </si>
  <si>
    <t>LJ4JQL8KRYOD13C</t>
  </si>
  <si>
    <t>% Conformidade Premium Class</t>
  </si>
  <si>
    <t>3DH1S9OT37E4DMN</t>
  </si>
  <si>
    <t>Custo total Premium Class</t>
  </si>
  <si>
    <t>ANKNUW1POA9KT23</t>
  </si>
  <si>
    <t>Custo total Hospitalidade</t>
  </si>
  <si>
    <t>51G1BRT3AIGKITV</t>
  </si>
  <si>
    <t>Fechamento do mês sem contas pendentes</t>
  </si>
  <si>
    <t>Na evidência existem 3 contas pendentes, sendo uma estava aguardadndo a baixa do PIX, e duas são de Cartão das agências.</t>
  </si>
  <si>
    <t>OIFSDRHMJ0O38PQ</t>
  </si>
  <si>
    <t>% Conformidade de auditoria de CFTV</t>
  </si>
  <si>
    <t>6IE78SDSA1BUTTC</t>
  </si>
  <si>
    <t>Apontamento de situações anormais</t>
  </si>
  <si>
    <t>Informação retirada do Mid Goals.</t>
  </si>
  <si>
    <t>FWK4IQGN28TG4G1</t>
  </si>
  <si>
    <t>Custo total Segurança</t>
  </si>
  <si>
    <t>7BAP4SQJSCTEKEI</t>
  </si>
  <si>
    <t>Qtd de rondas concluídas</t>
  </si>
  <si>
    <t>7FCQTT4NV37S0J4</t>
  </si>
  <si>
    <t>Nº de auditorias de SST e MA realizadas</t>
  </si>
  <si>
    <t>Realizado Inspeção ETE / POÇO 
Inspeção de Segurança do Trabalho / Não Conformidades</t>
  </si>
  <si>
    <t>TFWV3XTTXQVUSGA</t>
  </si>
  <si>
    <t>% de cumprimento de prazo da programação do mês</t>
  </si>
  <si>
    <t xml:space="preserve">O resultado fica = 6 / 8 = 75% das demandas entregues dentro do mês.
1. Controle de limpeza e higienização dos bebedouros - Prazo 23/01 - Ainda pendente;
2. Criar checklist e programar auditoria do PG-G&amp;G-04 Controle de Distribuição e uso de Uniforme, Crachá e EPI  - Prazo 30/01 - Entregue em fevereiro;
3. Fazer levantamento com fotos da estrutura das copas - Prazo 30/01 - Entregue dentro do mês;
4. Cronograma de Treinamento Segurança do Trabalho - Prazo 19/01 - Entregue dentro do mês;
5. Relacionar as ações de SST resolvidas e enviar para Gente e Gestão - Prazo 19/01 - Entregue dentro do mês;
6. Alinhar com Gente e Gestão o processo de controle de EPI a serem renovados - Prazo sem data - Prazo 19/01 - Entregue dentro do mês;
7. Elaborar procedimento para a área de SST - Prazo 30/01 - Entregue dentro do mês;
8. Fazer levantamento de perigos e riscos ocupacionais - Prazo 09/01 - Entregue dentro do mês.
</t>
  </si>
  <si>
    <t>Total de atividades: 5
Atividades realizadas dentro do prazo: 5
Porcentagem de atividades realizadas dentro do prazo é 100%.</t>
  </si>
  <si>
    <t xml:space="preserve">Total de atividades: 10
Atividades realizadas dentro do prazo: 9
Porcentagem de atividades realizadas dentro do prazo é 90%.
</t>
  </si>
  <si>
    <t>8NI6R8LS0VX4KI4</t>
  </si>
  <si>
    <t>Nº de Inspeções Realizadas no Mês</t>
  </si>
  <si>
    <t>Meta: 32 inspeções 
Super meta: 33 inspeções
Super meta atingida.</t>
  </si>
  <si>
    <t>2A8RXP2O4NVFGJW</t>
  </si>
  <si>
    <t>Fechamento das menções</t>
  </si>
  <si>
    <t>WAEPJJEO3R41RNH</t>
  </si>
  <si>
    <t>Nº de processos novos e revisados no mês no zeev</t>
  </si>
  <si>
    <t>H4FML012WNTKV5S</t>
  </si>
  <si>
    <t>Nº de reuniões para tratamento de não conformidades</t>
  </si>
  <si>
    <t>NWLL44K8R6WY8D9</t>
  </si>
  <si>
    <t>Qtd de auditorias realizadas</t>
  </si>
  <si>
    <t>Meta: 3 
1. Auditoria de Licenças e Alvarás realizada em 22/01/2026;
2. Auditoria de Ponto e Banco de Horas realizada em 30/01/2026 referente ao período de 26/12 a 26/01;
3. Auditoria de Régua de Relacionamento My Pratagy não foi realizada, devido as ações do material gráfico estarem ainda em andamento. Foi definido que a auditoria será programada para o fim de fevereiro e acontecerá trimestralmente.</t>
  </si>
  <si>
    <t>Meta: 3 
1. Auditoria de Régua de Relacionamento My Pratagy realizada em 11/12/2025;
2. Auditoria de Licenças e Alvarás realizada em 29/12/2025;
3. Auditoria de Ponto e Banco de Horas referente ao período de 24/11 a 24/12/2025, mas só foi concluída em 02/01/2026.</t>
  </si>
  <si>
    <t xml:space="preserve">Meta: 3 
1. Auditoria de Licenças e Alvarás realizada em 27/11/2025.
Não realizadas: Auditoria de Ponto e Réguas de Relacionamento My Pratagy. </t>
  </si>
  <si>
    <t>Período de aplicação
02/10/2025 19:10 à 06/10/2025 11:52 (3D 16:42:07)
A auditoria estava agendada para o dia 29-09, mas tivemos queda de energia e falta de acesso à rede na semana de 29-09 a 03-10, sendo possível concluir a auditoria somente no dia 06-10.</t>
  </si>
  <si>
    <t xml:space="preserve">Período de aplicação
28/08/2025 09:07 à 30/08/2025 21:07 (2D 12:00:38)
</t>
  </si>
  <si>
    <t>Período de aplicação
10/07/2025 15:00 à 11/07/2025 16:56 (1D 01:56:10)</t>
  </si>
  <si>
    <t xml:space="preserve">Período de aplicação
11/06/2025 09:54 à 11/06/2025 11:34 (01:39:24)
</t>
  </si>
  <si>
    <t xml:space="preserve">Período de aplicação
08/05/2025 09:22 à 08/05/2025 10:32 (01:10:05)
</t>
  </si>
  <si>
    <t>Período de aplicação
08/05/2025 09:22 à 08/05/2025 10:32 (01:10:05</t>
  </si>
  <si>
    <t>7617L3U1LTT2TPU</t>
  </si>
  <si>
    <t>Diária média (Semanal)</t>
  </si>
  <si>
    <t>Semanal</t>
  </si>
  <si>
    <t>01/mar a 07/mar</t>
  </si>
  <si>
    <t>22/fev a 28/fev</t>
  </si>
  <si>
    <t>15/fev a 21/fev</t>
  </si>
  <si>
    <t>08/fev a 14/fev</t>
  </si>
  <si>
    <t>01/fev a 07/fev</t>
  </si>
  <si>
    <t>25/jan a 31/jan</t>
  </si>
  <si>
    <t>18/jan a 24/jan</t>
  </si>
  <si>
    <t>11/jan a 17/jan</t>
  </si>
  <si>
    <t>04/jan a 10/jan</t>
  </si>
  <si>
    <t>28/dez a 03/jan</t>
  </si>
  <si>
    <t>21/dez a 27/dez</t>
  </si>
  <si>
    <t>14/dez a 20/dez</t>
  </si>
  <si>
    <t>07/dez a 13/dez</t>
  </si>
  <si>
    <t>30/nov a 06/dez</t>
  </si>
  <si>
    <t>23/nov a 29/nov</t>
  </si>
  <si>
    <t>MSWQ43M2PEEVS7V</t>
  </si>
  <si>
    <t>% de mensagens de boas vindas enviadas</t>
  </si>
  <si>
    <t>Todos os Dias</t>
  </si>
  <si>
    <t>GQJXSLUC79YXMH9</t>
  </si>
  <si>
    <t>% Abordagem hóspedes Premium Class</t>
  </si>
  <si>
    <t xml:space="preserve">Foi realizado o contato com todos os hospedes </t>
  </si>
  <si>
    <t xml:space="preserve">Todos os hospedes foram abordados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</si>
</sst>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m/d"/>
    <numFmt numFmtId="165" formatCode="[$R$ -416]#,##0.00"/>
    <numFmt numFmtId="166" formatCode="[hh]:mm:ss"/>
    <numFmt numFmtId="167" formatCode="mmm/d"/>
    <numFmt numFmtId="168" formatCode="yyyy\-mm\-dd\ hh:mm:ss"/>
    <numFmt numFmtId="169" formatCode="yyyy\-mm\-dd"/>
  </numFmts>
  <fonts count="1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FFFFFF"/>
      <name val="Arial"/>
    </font>
    <font>
      <sz val="10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Play"/>
    </font>
    <font>
      <sz val="11"/>
      <color theme="1"/>
      <name val="Aptos Narrow"/>
    </font>
    <font>
      <sz val="11"/>
      <color rgb="FF0D0D0D"/>
      <name val="Arial"/>
    </font>
    <font>
      <b/>
      <sz val="10"/>
      <color rgb="FFFFFFFF"/>
      <name val="Arial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97132"/>
        <bgColor rgb="FFE97132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3" borderId="0" xfId="0" applyFont="1" applyFill="1" applyAlignment="1"/>
    <xf numFmtId="4" fontId="4" fillId="0" borderId="0" xfId="0" applyNumberFormat="1" applyFont="1" applyAlignment="1">
      <alignment horizontal="center"/>
    </xf>
    <xf numFmtId="0" fontId="1" fillId="0" borderId="0" xfId="0" applyFont="1" applyAlignment="1"/>
    <xf numFmtId="2" fontId="4" fillId="0" borderId="0" xfId="0" applyNumberFormat="1" applyFont="1" applyAlignment="1">
      <alignment horizontal="center"/>
    </xf>
    <xf numFmtId="0" fontId="4" fillId="4" borderId="0" xfId="0" applyFont="1" applyFill="1" applyAlignment="1"/>
    <xf numFmtId="0" fontId="4" fillId="4" borderId="0" xfId="0" applyFont="1" applyFill="1" applyAlignment="1">
      <alignment horizontal="center"/>
    </xf>
    <xf numFmtId="165" fontId="4" fillId="5" borderId="0" xfId="0" applyNumberFormat="1" applyFont="1" applyFill="1" applyAlignment="1"/>
    <xf numFmtId="10" fontId="4" fillId="4" borderId="0" xfId="0" applyNumberFormat="1" applyFont="1" applyFill="1" applyAlignment="1">
      <alignment horizontal="center"/>
    </xf>
    <xf numFmtId="9" fontId="4" fillId="4" borderId="0" xfId="0" applyNumberFormat="1" applyFont="1" applyFill="1" applyAlignment="1">
      <alignment horizontal="center"/>
    </xf>
    <xf numFmtId="165" fontId="4" fillId="4" borderId="0" xfId="0" applyNumberFormat="1" applyFont="1" applyFill="1" applyAlignment="1"/>
    <xf numFmtId="4" fontId="4" fillId="4" borderId="0" xfId="0" applyNumberFormat="1" applyFont="1" applyFill="1" applyAlignment="1">
      <alignment horizontal="center"/>
    </xf>
    <xf numFmtId="165" fontId="4" fillId="6" borderId="0" xfId="0" applyNumberFormat="1" applyFont="1" applyFill="1" applyAlignment="1"/>
    <xf numFmtId="0" fontId="4" fillId="7" borderId="0" xfId="0" applyFont="1" applyFill="1" applyAlignment="1"/>
    <xf numFmtId="0" fontId="1" fillId="7" borderId="0" xfId="0" applyFont="1" applyFill="1" applyAlignment="1"/>
    <xf numFmtId="10" fontId="4" fillId="0" borderId="0" xfId="0" applyNumberFormat="1" applyFont="1" applyAlignment="1">
      <alignment horizontal="center"/>
    </xf>
    <xf numFmtId="0" fontId="5" fillId="4" borderId="0" xfId="0" applyFont="1" applyFill="1" applyAlignment="1"/>
    <xf numFmtId="9" fontId="4" fillId="4" borderId="0" xfId="0" applyNumberFormat="1" applyFont="1" applyFill="1" applyAlignment="1"/>
    <xf numFmtId="10" fontId="4" fillId="4" borderId="0" xfId="0" applyNumberFormat="1" applyFont="1" applyFill="1" applyAlignment="1"/>
    <xf numFmtId="9" fontId="4" fillId="3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4" borderId="0" xfId="0" applyFont="1" applyFill="1" applyAlignment="1"/>
    <xf numFmtId="166" fontId="4" fillId="4" borderId="0" xfId="0" applyNumberFormat="1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/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4" fontId="8" fillId="4" borderId="0" xfId="0" applyNumberFormat="1" applyFont="1" applyFill="1" applyAlignment="1">
      <alignment horizontal="center"/>
    </xf>
    <xf numFmtId="0" fontId="9" fillId="8" borderId="0" xfId="0" applyFont="1" applyFill="1" applyAlignment="1">
      <alignment horizontal="center"/>
    </xf>
    <xf numFmtId="14" fontId="9" fillId="8" borderId="0" xfId="0" applyNumberFormat="1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10" fillId="0" borderId="0" xfId="0" applyFont="1" applyAlignment="1"/>
    <xf numFmtId="14" fontId="10" fillId="0" borderId="0" xfId="0" applyNumberFormat="1" applyFont="1" applyAlignme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7" fontId="10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/>
    <xf numFmtId="14" fontId="10" fillId="0" borderId="0" xfId="0" applyNumberFormat="1" applyFont="1" applyAlignment="1">
      <alignment horizontal="center"/>
    </xf>
    <xf numFmtId="14" fontId="10" fillId="0" borderId="0" xfId="0" applyNumberFormat="1" applyFont="1"/>
    <xf numFmtId="14" fontId="10" fillId="0" borderId="0" xfId="0" applyNumberFormat="1" applyFont="1" applyAlignment="1">
      <alignment horizontal="center"/>
    </xf>
    <xf numFmtId="169" fontId="10" fillId="0" borderId="0" xfId="0" applyNumberFormat="1" applyFont="1" applyAlignment="1"/>
    <xf numFmtId="0" fontId="10" fillId="0" borderId="0" xfId="0" applyFont="1" applyAlignment="1"/>
    <xf numFmtId="168" fontId="10" fillId="0" borderId="0" xfId="0" applyNumberFormat="1" applyFont="1" applyAlignment="1"/>
    <xf numFmtId="164" fontId="2" fillId="2" borderId="1" xfId="0" applyNumberFormat="1" applyFont="1" applyFill="1" applyBorder="1" applyAlignment="1">
      <alignment horizontal="center"/>
    </xf>
    <xf numFmtId="0" fontId="3" fillId="0" borderId="2" xfId="0" applyFont="1" applyBorder="1"/>
    <xf numFmtId="164" fontId="2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13"/>
  <sheetViews>
    <sheetView tabSelected="1" topLeftCell="B1" workbookViewId="0">
      <selection activeCell="I2" sqref="I2"/>
    </sheetView>
  </sheetViews>
  <sheetFormatPr defaultColWidth="12.5703125" defaultRowHeight="15.75" customHeight="1"/>
  <cols>
    <col min="1" max="1" width="75.5703125" customWidth="1"/>
    <col min="2" max="2" width="16" customWidth="1"/>
    <col min="3" max="3" width="49.28515625" customWidth="1"/>
    <col min="4" max="4" width="37.5703125" customWidth="1"/>
    <col min="5" max="5" width="16.140625" bestFit="1" customWidth="1"/>
    <col min="6" max="6" width="81.85546875" bestFit="1" customWidth="1"/>
    <col min="11" max="11" width="13.42578125" customWidth="1"/>
    <col min="13" max="13" width="13.42578125" customWidth="1"/>
    <col min="15" max="15" width="13.42578125" customWidth="1"/>
    <col min="17" max="17" width="13.42578125" customWidth="1"/>
  </cols>
  <sheetData>
    <row r="1" spans="1:17" ht="15.75" customHeight="1">
      <c r="A1" s="1"/>
      <c r="B1" s="1"/>
      <c r="C1" s="2"/>
      <c r="D1" s="2"/>
      <c r="E1" s="2"/>
      <c r="F1" s="2"/>
      <c r="G1" s="2"/>
      <c r="H1" s="2"/>
      <c r="I1" s="2"/>
      <c r="J1" s="55">
        <v>46048</v>
      </c>
      <c r="K1" s="56"/>
      <c r="L1" s="57">
        <v>46079</v>
      </c>
      <c r="M1" s="56"/>
      <c r="N1" s="57">
        <v>46107</v>
      </c>
      <c r="O1" s="56"/>
      <c r="P1" s="57">
        <v>46138</v>
      </c>
      <c r="Q1" s="56"/>
    </row>
    <row r="2" spans="1:17" ht="15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  <c r="J2" s="5" t="s">
        <v>9</v>
      </c>
      <c r="K2" s="6" t="s">
        <v>10</v>
      </c>
      <c r="L2" s="3" t="s">
        <v>9</v>
      </c>
      <c r="M2" s="6" t="s">
        <v>10</v>
      </c>
      <c r="N2" s="3" t="s">
        <v>9</v>
      </c>
      <c r="O2" s="6" t="s">
        <v>10</v>
      </c>
      <c r="P2" s="3" t="s">
        <v>9</v>
      </c>
      <c r="Q2" s="6" t="s">
        <v>10</v>
      </c>
    </row>
    <row r="3" spans="1:17">
      <c r="A3" s="7" t="s">
        <v>11</v>
      </c>
      <c r="B3" s="7" t="s">
        <v>11</v>
      </c>
      <c r="C3" s="7" t="s">
        <v>12</v>
      </c>
      <c r="D3" s="7" t="s">
        <v>13</v>
      </c>
      <c r="E3" s="8" t="s">
        <v>14</v>
      </c>
      <c r="F3" s="9" t="s">
        <v>15</v>
      </c>
      <c r="G3" s="8">
        <v>6</v>
      </c>
      <c r="H3" s="7" t="s">
        <v>16</v>
      </c>
      <c r="I3" s="7" t="s">
        <v>17</v>
      </c>
      <c r="J3" s="10">
        <v>1876.27</v>
      </c>
      <c r="K3" s="10">
        <v>1970.08</v>
      </c>
      <c r="L3" s="10">
        <v>1455.68</v>
      </c>
      <c r="M3" s="10">
        <v>1528.46</v>
      </c>
      <c r="N3" s="10">
        <v>1421.87</v>
      </c>
      <c r="O3" s="10">
        <v>1492.96</v>
      </c>
      <c r="P3" s="10">
        <v>1364.13</v>
      </c>
      <c r="Q3" s="10">
        <v>1432.34</v>
      </c>
    </row>
    <row r="4" spans="1:17">
      <c r="A4" s="7" t="s">
        <v>11</v>
      </c>
      <c r="B4" s="7" t="s">
        <v>11</v>
      </c>
      <c r="C4" s="7" t="s">
        <v>12</v>
      </c>
      <c r="D4" s="7" t="s">
        <v>13</v>
      </c>
      <c r="E4" s="8" t="s">
        <v>18</v>
      </c>
      <c r="F4" s="9" t="s">
        <v>19</v>
      </c>
      <c r="G4" s="8">
        <v>6</v>
      </c>
      <c r="H4" s="7" t="s">
        <v>20</v>
      </c>
      <c r="I4" s="7" t="s">
        <v>21</v>
      </c>
      <c r="J4" s="10">
        <v>15383933.310000001</v>
      </c>
      <c r="K4" s="10">
        <v>16153129.98</v>
      </c>
      <c r="L4" s="10">
        <v>10465777.66</v>
      </c>
      <c r="M4" s="10">
        <v>10989066.539999999</v>
      </c>
      <c r="N4" s="10">
        <v>10328855.59</v>
      </c>
      <c r="O4" s="10">
        <v>10845298.369999999</v>
      </c>
      <c r="P4" s="10">
        <v>9087631.0600000005</v>
      </c>
      <c r="Q4" s="10">
        <v>9542012.6099999994</v>
      </c>
    </row>
    <row r="5" spans="1:17">
      <c r="A5" s="7" t="s">
        <v>11</v>
      </c>
      <c r="B5" s="7" t="s">
        <v>11</v>
      </c>
      <c r="C5" s="7" t="s">
        <v>12</v>
      </c>
      <c r="D5" s="7" t="s">
        <v>13</v>
      </c>
      <c r="E5" s="8" t="s">
        <v>18</v>
      </c>
      <c r="F5" s="9" t="s">
        <v>22</v>
      </c>
      <c r="G5" s="8">
        <v>6</v>
      </c>
      <c r="H5" s="7" t="s">
        <v>20</v>
      </c>
      <c r="I5" s="7" t="s">
        <v>21</v>
      </c>
      <c r="J5" s="11"/>
      <c r="K5" s="11"/>
      <c r="L5" s="11"/>
      <c r="M5" s="11"/>
      <c r="N5" s="11"/>
      <c r="O5" s="11"/>
      <c r="P5" s="11"/>
      <c r="Q5" s="11"/>
    </row>
    <row r="6" spans="1:17">
      <c r="A6" s="7" t="s">
        <v>11</v>
      </c>
      <c r="B6" s="7" t="s">
        <v>11</v>
      </c>
      <c r="C6" s="7" t="s">
        <v>23</v>
      </c>
      <c r="D6" s="7" t="s">
        <v>24</v>
      </c>
      <c r="E6" s="8" t="s">
        <v>18</v>
      </c>
      <c r="F6" s="9" t="s">
        <v>25</v>
      </c>
      <c r="G6" s="8">
        <v>6</v>
      </c>
      <c r="H6" s="7" t="s">
        <v>20</v>
      </c>
      <c r="I6" s="7" t="s">
        <v>21</v>
      </c>
      <c r="J6" s="10">
        <v>1706.23</v>
      </c>
      <c r="K6" s="10">
        <v>1791.54</v>
      </c>
      <c r="L6" s="10">
        <v>1333.53</v>
      </c>
      <c r="M6" s="10">
        <v>1400.21</v>
      </c>
      <c r="N6" s="10">
        <v>1296.04</v>
      </c>
      <c r="O6" s="10">
        <v>1360.84</v>
      </c>
      <c r="P6" s="10">
        <v>1284.9000000000001</v>
      </c>
      <c r="Q6" s="10">
        <v>1349.15</v>
      </c>
    </row>
    <row r="7" spans="1:17">
      <c r="A7" s="7" t="s">
        <v>11</v>
      </c>
      <c r="B7" s="7" t="s">
        <v>11</v>
      </c>
      <c r="C7" s="7" t="s">
        <v>23</v>
      </c>
      <c r="D7" s="7" t="s">
        <v>24</v>
      </c>
      <c r="E7" s="8" t="s">
        <v>18</v>
      </c>
      <c r="F7" s="9" t="s">
        <v>26</v>
      </c>
      <c r="G7" s="8">
        <v>6</v>
      </c>
      <c r="H7" s="7" t="s">
        <v>20</v>
      </c>
      <c r="I7" s="7" t="s">
        <v>21</v>
      </c>
      <c r="J7" s="10">
        <v>9072031.3200000003</v>
      </c>
      <c r="K7" s="10">
        <v>9525632.8900000006</v>
      </c>
      <c r="L7" s="10">
        <v>6186243</v>
      </c>
      <c r="M7" s="10">
        <v>6495555.1500000004</v>
      </c>
      <c r="N7" s="10">
        <v>5714256.1900000004</v>
      </c>
      <c r="O7" s="10">
        <v>5999969</v>
      </c>
      <c r="P7" s="10">
        <v>5462128.1299999999</v>
      </c>
      <c r="Q7" s="10">
        <v>5735234.54</v>
      </c>
    </row>
    <row r="8" spans="1:17">
      <c r="A8" s="7" t="s">
        <v>11</v>
      </c>
      <c r="B8" s="7" t="s">
        <v>11</v>
      </c>
      <c r="C8" s="7" t="s">
        <v>23</v>
      </c>
      <c r="D8" s="7" t="s">
        <v>24</v>
      </c>
      <c r="E8" s="8" t="s">
        <v>18</v>
      </c>
      <c r="F8" s="9" t="s">
        <v>27</v>
      </c>
      <c r="G8" s="8">
        <v>6</v>
      </c>
      <c r="H8" s="7" t="s">
        <v>16</v>
      </c>
      <c r="I8" s="7" t="s">
        <v>17</v>
      </c>
      <c r="J8" s="11"/>
      <c r="K8" s="11"/>
      <c r="L8" s="11"/>
      <c r="M8" s="11"/>
      <c r="N8" s="11"/>
      <c r="O8" s="11"/>
      <c r="P8" s="11"/>
      <c r="Q8" s="11"/>
    </row>
    <row r="9" spans="1:17">
      <c r="A9" s="7" t="s">
        <v>11</v>
      </c>
      <c r="B9" s="7" t="s">
        <v>28</v>
      </c>
      <c r="C9" s="7" t="s">
        <v>29</v>
      </c>
      <c r="D9" s="7" t="s">
        <v>30</v>
      </c>
      <c r="E9" s="8" t="s">
        <v>18</v>
      </c>
      <c r="F9" s="9" t="s">
        <v>31</v>
      </c>
      <c r="G9" s="8">
        <v>3</v>
      </c>
      <c r="H9" s="7" t="s">
        <v>32</v>
      </c>
      <c r="I9" s="7" t="s">
        <v>33</v>
      </c>
      <c r="J9" s="11"/>
      <c r="K9" s="11"/>
      <c r="L9" s="11"/>
      <c r="M9" s="11"/>
      <c r="N9" s="11"/>
      <c r="O9" s="11"/>
      <c r="P9" s="11"/>
      <c r="Q9" s="11"/>
    </row>
    <row r="10" spans="1:17">
      <c r="A10" s="7" t="s">
        <v>11</v>
      </c>
      <c r="B10" s="7" t="s">
        <v>28</v>
      </c>
      <c r="C10" s="7" t="s">
        <v>29</v>
      </c>
      <c r="D10" s="7" t="s">
        <v>30</v>
      </c>
      <c r="E10" s="8" t="s">
        <v>18</v>
      </c>
      <c r="F10" s="9" t="s">
        <v>34</v>
      </c>
      <c r="G10" s="8">
        <v>3</v>
      </c>
      <c r="H10" s="7" t="s">
        <v>32</v>
      </c>
      <c r="I10" s="7" t="s">
        <v>33</v>
      </c>
      <c r="J10" s="11"/>
      <c r="K10" s="11"/>
      <c r="L10" s="11"/>
      <c r="M10" s="11"/>
      <c r="N10" s="11"/>
      <c r="O10" s="11"/>
      <c r="P10" s="11"/>
      <c r="Q10" s="11"/>
    </row>
    <row r="11" spans="1:17">
      <c r="A11" s="7" t="s">
        <v>11</v>
      </c>
      <c r="B11" s="7" t="s">
        <v>28</v>
      </c>
      <c r="C11" s="7" t="s">
        <v>29</v>
      </c>
      <c r="D11" s="7" t="s">
        <v>30</v>
      </c>
      <c r="E11" s="8" t="s">
        <v>18</v>
      </c>
      <c r="F11" s="9" t="s">
        <v>35</v>
      </c>
      <c r="G11" s="8">
        <v>3</v>
      </c>
      <c r="H11" s="7" t="s">
        <v>36</v>
      </c>
      <c r="I11" s="7" t="s">
        <v>37</v>
      </c>
      <c r="J11" s="11"/>
      <c r="K11" s="11"/>
      <c r="L11" s="11"/>
      <c r="M11" s="11"/>
      <c r="N11" s="11"/>
      <c r="O11" s="11"/>
      <c r="P11" s="11"/>
      <c r="Q11" s="11"/>
    </row>
    <row r="12" spans="1:17">
      <c r="A12" s="7" t="s">
        <v>11</v>
      </c>
      <c r="B12" s="7" t="s">
        <v>28</v>
      </c>
      <c r="C12" s="7" t="s">
        <v>29</v>
      </c>
      <c r="D12" s="7" t="s">
        <v>30</v>
      </c>
      <c r="E12" s="8" t="s">
        <v>18</v>
      </c>
      <c r="F12" s="9" t="s">
        <v>38</v>
      </c>
      <c r="G12" s="8">
        <v>3</v>
      </c>
      <c r="H12" s="7" t="s">
        <v>36</v>
      </c>
      <c r="I12" s="7" t="s">
        <v>37</v>
      </c>
      <c r="J12" s="11"/>
      <c r="K12" s="11"/>
      <c r="L12" s="11"/>
      <c r="M12" s="11"/>
      <c r="N12" s="11"/>
      <c r="O12" s="11"/>
      <c r="P12" s="11"/>
      <c r="Q12" s="11"/>
    </row>
    <row r="13" spans="1:17">
      <c r="A13" s="7" t="s">
        <v>11</v>
      </c>
      <c r="B13" s="7" t="s">
        <v>28</v>
      </c>
      <c r="C13" s="7" t="s">
        <v>39</v>
      </c>
      <c r="D13" s="7" t="s">
        <v>40</v>
      </c>
      <c r="E13" s="8" t="s">
        <v>41</v>
      </c>
      <c r="F13" s="9" t="s">
        <v>42</v>
      </c>
      <c r="G13" s="8">
        <v>3</v>
      </c>
      <c r="H13" s="7" t="s">
        <v>43</v>
      </c>
      <c r="I13" s="7" t="s">
        <v>44</v>
      </c>
      <c r="J13" s="11"/>
      <c r="K13" s="11"/>
      <c r="L13" s="11"/>
      <c r="M13" s="11"/>
      <c r="N13" s="11"/>
      <c r="O13" s="11"/>
      <c r="P13" s="11"/>
      <c r="Q13" s="11"/>
    </row>
    <row r="14" spans="1:17">
      <c r="A14" s="7" t="s">
        <v>11</v>
      </c>
      <c r="B14" s="7" t="s">
        <v>28</v>
      </c>
      <c r="C14" s="7" t="s">
        <v>39</v>
      </c>
      <c r="D14" s="7" t="s">
        <v>40</v>
      </c>
      <c r="E14" s="8" t="s">
        <v>41</v>
      </c>
      <c r="F14" s="9" t="s">
        <v>45</v>
      </c>
      <c r="G14" s="8">
        <v>3</v>
      </c>
      <c r="H14" s="7" t="s">
        <v>43</v>
      </c>
      <c r="I14" s="7" t="s">
        <v>44</v>
      </c>
      <c r="J14" s="11"/>
      <c r="K14" s="11"/>
      <c r="L14" s="11"/>
      <c r="M14" s="11"/>
      <c r="N14" s="11"/>
      <c r="O14" s="11"/>
      <c r="P14" s="11"/>
      <c r="Q14" s="11"/>
    </row>
    <row r="15" spans="1:17">
      <c r="A15" s="7" t="s">
        <v>11</v>
      </c>
      <c r="B15" s="7" t="s">
        <v>28</v>
      </c>
      <c r="C15" s="7" t="s">
        <v>46</v>
      </c>
      <c r="D15" s="7" t="s">
        <v>47</v>
      </c>
      <c r="E15" s="8" t="s">
        <v>18</v>
      </c>
      <c r="F15" s="9" t="s">
        <v>19</v>
      </c>
      <c r="G15" s="8">
        <v>6</v>
      </c>
      <c r="H15" s="7" t="s">
        <v>48</v>
      </c>
      <c r="I15" s="7" t="s">
        <v>49</v>
      </c>
      <c r="J15" s="10">
        <v>15383933.310000001</v>
      </c>
      <c r="K15" s="10">
        <v>16153129.98</v>
      </c>
      <c r="L15" s="10">
        <v>10465777.66</v>
      </c>
      <c r="M15" s="10">
        <v>10989066.539999999</v>
      </c>
      <c r="N15" s="10">
        <v>10328855.59</v>
      </c>
      <c r="O15" s="10">
        <v>10845298.369999999</v>
      </c>
      <c r="P15" s="10">
        <v>9087631.0600000005</v>
      </c>
      <c r="Q15" s="10">
        <v>9542012.6099999994</v>
      </c>
    </row>
    <row r="16" spans="1:17">
      <c r="A16" s="7" t="s">
        <v>11</v>
      </c>
      <c r="B16" s="7" t="s">
        <v>28</v>
      </c>
      <c r="C16" s="7" t="s">
        <v>46</v>
      </c>
      <c r="D16" s="7" t="s">
        <v>47</v>
      </c>
      <c r="E16" s="8" t="s">
        <v>18</v>
      </c>
      <c r="F16" s="9" t="s">
        <v>50</v>
      </c>
      <c r="G16" s="8">
        <v>6</v>
      </c>
      <c r="H16" s="7" t="s">
        <v>51</v>
      </c>
      <c r="I16" s="7" t="s">
        <v>48</v>
      </c>
      <c r="J16" s="11"/>
      <c r="K16" s="11"/>
      <c r="L16" s="11"/>
      <c r="M16" s="11"/>
      <c r="N16" s="11"/>
      <c r="O16" s="11"/>
      <c r="P16" s="11"/>
      <c r="Q16" s="11"/>
    </row>
    <row r="17" spans="1:17">
      <c r="A17" s="7" t="s">
        <v>11</v>
      </c>
      <c r="B17" s="7" t="s">
        <v>28</v>
      </c>
      <c r="C17" s="7" t="s">
        <v>46</v>
      </c>
      <c r="D17" s="7" t="s">
        <v>47</v>
      </c>
      <c r="E17" s="8" t="s">
        <v>18</v>
      </c>
      <c r="F17" s="9" t="s">
        <v>22</v>
      </c>
      <c r="G17" s="8">
        <v>6</v>
      </c>
      <c r="H17" s="7" t="s">
        <v>52</v>
      </c>
      <c r="I17" s="7" t="s">
        <v>53</v>
      </c>
      <c r="J17" s="11"/>
      <c r="K17" s="11"/>
      <c r="L17" s="11"/>
      <c r="M17" s="11"/>
      <c r="N17" s="11"/>
      <c r="O17" s="11"/>
      <c r="P17" s="11"/>
      <c r="Q17" s="11"/>
    </row>
    <row r="18" spans="1:17">
      <c r="A18" s="7" t="s">
        <v>11</v>
      </c>
      <c r="B18" s="7" t="s">
        <v>54</v>
      </c>
      <c r="C18" s="7" t="s">
        <v>55</v>
      </c>
      <c r="D18" s="7" t="s">
        <v>56</v>
      </c>
      <c r="E18" s="8" t="s">
        <v>18</v>
      </c>
      <c r="F18" s="9" t="s">
        <v>25</v>
      </c>
      <c r="G18" s="8">
        <v>3</v>
      </c>
      <c r="H18" s="7" t="s">
        <v>57</v>
      </c>
      <c r="I18" s="7" t="s">
        <v>58</v>
      </c>
      <c r="J18" s="10">
        <v>1706.23</v>
      </c>
      <c r="K18" s="10">
        <v>1791.54</v>
      </c>
      <c r="L18" s="10">
        <v>1333.53</v>
      </c>
      <c r="M18" s="10">
        <v>1400.21</v>
      </c>
      <c r="N18" s="10">
        <v>1296.04</v>
      </c>
      <c r="O18" s="10">
        <v>1360.84</v>
      </c>
      <c r="P18" s="10">
        <v>1284.9000000000001</v>
      </c>
      <c r="Q18" s="10">
        <v>1349.15</v>
      </c>
    </row>
    <row r="19" spans="1:17">
      <c r="A19" s="7" t="s">
        <v>11</v>
      </c>
      <c r="B19" s="7" t="s">
        <v>54</v>
      </c>
      <c r="C19" s="7" t="s">
        <v>55</v>
      </c>
      <c r="D19" s="7" t="s">
        <v>56</v>
      </c>
      <c r="E19" s="8" t="s">
        <v>18</v>
      </c>
      <c r="F19" s="9" t="s">
        <v>26</v>
      </c>
      <c r="G19" s="8">
        <v>3</v>
      </c>
      <c r="H19" s="7" t="s">
        <v>59</v>
      </c>
      <c r="I19" s="7" t="s">
        <v>60</v>
      </c>
      <c r="J19" s="10">
        <v>9072031.3200000003</v>
      </c>
      <c r="K19" s="10">
        <v>9525632.8900000006</v>
      </c>
      <c r="L19" s="10">
        <v>6186243</v>
      </c>
      <c r="M19" s="10">
        <v>6495555.1500000004</v>
      </c>
      <c r="N19" s="10">
        <v>5714256.1900000004</v>
      </c>
      <c r="O19" s="10">
        <v>5999969</v>
      </c>
      <c r="P19" s="10">
        <v>5462128.1299999999</v>
      </c>
      <c r="Q19" s="10">
        <v>5735234.54</v>
      </c>
    </row>
    <row r="20" spans="1:17">
      <c r="A20" s="7" t="s">
        <v>11</v>
      </c>
      <c r="B20" s="7" t="s">
        <v>54</v>
      </c>
      <c r="C20" s="7" t="s">
        <v>55</v>
      </c>
      <c r="D20" s="7" t="s">
        <v>56</v>
      </c>
      <c r="E20" s="8" t="s">
        <v>18</v>
      </c>
      <c r="F20" s="9" t="s">
        <v>27</v>
      </c>
      <c r="G20" s="8">
        <v>3</v>
      </c>
      <c r="H20" s="7" t="s">
        <v>57</v>
      </c>
      <c r="I20" s="7" t="s">
        <v>58</v>
      </c>
      <c r="J20" s="11"/>
      <c r="K20" s="11"/>
      <c r="L20" s="11"/>
      <c r="M20" s="11"/>
      <c r="N20" s="11"/>
      <c r="O20" s="11"/>
      <c r="P20" s="11"/>
      <c r="Q20" s="11"/>
    </row>
    <row r="21" spans="1:17">
      <c r="A21" s="7" t="s">
        <v>11</v>
      </c>
      <c r="B21" s="7" t="s">
        <v>61</v>
      </c>
      <c r="C21" s="7" t="s">
        <v>62</v>
      </c>
      <c r="D21" s="7" t="s">
        <v>63</v>
      </c>
      <c r="E21" s="8" t="s">
        <v>18</v>
      </c>
      <c r="F21" s="9" t="s">
        <v>15</v>
      </c>
      <c r="G21" s="8">
        <v>4</v>
      </c>
      <c r="H21" s="7" t="s">
        <v>64</v>
      </c>
      <c r="I21" s="7" t="s">
        <v>65</v>
      </c>
      <c r="J21" s="10">
        <v>1876.27</v>
      </c>
      <c r="K21" s="10">
        <v>1970.08</v>
      </c>
      <c r="L21" s="10">
        <v>1455.68</v>
      </c>
      <c r="M21" s="10">
        <v>1528.46</v>
      </c>
      <c r="N21" s="10">
        <v>1421.87</v>
      </c>
      <c r="O21" s="10">
        <v>1492.96</v>
      </c>
      <c r="P21" s="10">
        <v>1364.13</v>
      </c>
      <c r="Q21" s="10">
        <v>1432.34</v>
      </c>
    </row>
    <row r="22" spans="1:17">
      <c r="A22" s="7" t="s">
        <v>11</v>
      </c>
      <c r="B22" s="7" t="s">
        <v>61</v>
      </c>
      <c r="C22" s="7" t="s">
        <v>62</v>
      </c>
      <c r="D22" s="7" t="s">
        <v>63</v>
      </c>
      <c r="E22" s="8" t="s">
        <v>18</v>
      </c>
      <c r="F22" s="9" t="s">
        <v>66</v>
      </c>
      <c r="G22" s="8">
        <v>4</v>
      </c>
      <c r="H22" s="7" t="s">
        <v>64</v>
      </c>
      <c r="I22" s="7" t="s">
        <v>65</v>
      </c>
      <c r="J22" s="10">
        <v>1661.17</v>
      </c>
      <c r="K22" s="10">
        <v>1744.23</v>
      </c>
      <c r="L22" s="10">
        <v>1286.96</v>
      </c>
      <c r="M22" s="10">
        <v>1351.31</v>
      </c>
      <c r="N22" s="10">
        <v>1157.24</v>
      </c>
      <c r="O22" s="10">
        <v>1215.0999999999999</v>
      </c>
      <c r="P22" s="10">
        <v>1051.07</v>
      </c>
      <c r="Q22" s="10">
        <v>1103.6199999999999</v>
      </c>
    </row>
    <row r="23" spans="1:17">
      <c r="A23" s="7" t="s">
        <v>11</v>
      </c>
      <c r="B23" s="7" t="s">
        <v>61</v>
      </c>
      <c r="C23" s="7" t="s">
        <v>62</v>
      </c>
      <c r="D23" s="7" t="s">
        <v>63</v>
      </c>
      <c r="E23" s="8" t="s">
        <v>18</v>
      </c>
      <c r="F23" s="9" t="s">
        <v>67</v>
      </c>
      <c r="G23" s="8">
        <v>4</v>
      </c>
      <c r="H23" s="7" t="s">
        <v>65</v>
      </c>
      <c r="I23" s="7" t="s">
        <v>68</v>
      </c>
      <c r="J23" s="10">
        <v>13915015.27</v>
      </c>
      <c r="K23" s="10">
        <v>14610766.029999999</v>
      </c>
      <c r="L23" s="10">
        <v>9748325.4900000002</v>
      </c>
      <c r="M23" s="10">
        <v>10235741.76</v>
      </c>
      <c r="N23" s="10">
        <v>9705132.0600000005</v>
      </c>
      <c r="O23" s="10">
        <v>10190388.66</v>
      </c>
      <c r="P23" s="10">
        <v>8535061.75</v>
      </c>
      <c r="Q23" s="10">
        <v>8961814.8399999999</v>
      </c>
    </row>
    <row r="24" spans="1:17">
      <c r="A24" s="7" t="s">
        <v>11</v>
      </c>
      <c r="B24" s="7" t="s">
        <v>69</v>
      </c>
      <c r="C24" s="7" t="s">
        <v>70</v>
      </c>
      <c r="D24" s="7" t="s">
        <v>71</v>
      </c>
      <c r="E24" s="8" t="s">
        <v>18</v>
      </c>
      <c r="F24" s="9" t="s">
        <v>72</v>
      </c>
      <c r="G24" s="8">
        <v>5</v>
      </c>
      <c r="H24" s="7" t="s">
        <v>73</v>
      </c>
      <c r="I24" s="7" t="s">
        <v>74</v>
      </c>
      <c r="J24" s="12">
        <v>145</v>
      </c>
      <c r="K24" s="12">
        <v>152.25</v>
      </c>
      <c r="L24" s="12">
        <v>129</v>
      </c>
      <c r="M24" s="12">
        <v>135.44999999999999</v>
      </c>
      <c r="N24" s="12">
        <v>109</v>
      </c>
      <c r="O24" s="12">
        <v>114.45</v>
      </c>
      <c r="P24" s="12">
        <v>109</v>
      </c>
      <c r="Q24" s="12">
        <v>114.45</v>
      </c>
    </row>
    <row r="25" spans="1:17">
      <c r="A25" s="7" t="s">
        <v>11</v>
      </c>
      <c r="B25" s="7" t="s">
        <v>69</v>
      </c>
      <c r="C25" s="7" t="s">
        <v>70</v>
      </c>
      <c r="D25" s="7" t="s">
        <v>71</v>
      </c>
      <c r="E25" s="8" t="s">
        <v>18</v>
      </c>
      <c r="F25" s="9" t="s">
        <v>75</v>
      </c>
      <c r="G25" s="8">
        <v>5</v>
      </c>
      <c r="H25" s="7" t="s">
        <v>52</v>
      </c>
      <c r="I25" s="7" t="s">
        <v>53</v>
      </c>
      <c r="J25" s="11"/>
      <c r="K25" s="11"/>
      <c r="L25" s="11"/>
      <c r="M25" s="11"/>
      <c r="N25" s="11"/>
      <c r="O25" s="11"/>
      <c r="P25" s="11"/>
      <c r="Q25" s="11"/>
    </row>
    <row r="26" spans="1:17">
      <c r="A26" s="7" t="s">
        <v>11</v>
      </c>
      <c r="B26" s="7" t="s">
        <v>69</v>
      </c>
      <c r="C26" s="7" t="s">
        <v>70</v>
      </c>
      <c r="D26" s="7" t="s">
        <v>71</v>
      </c>
      <c r="E26" s="8" t="s">
        <v>18</v>
      </c>
      <c r="F26" s="9" t="s">
        <v>76</v>
      </c>
      <c r="G26" s="8">
        <v>5</v>
      </c>
      <c r="H26" s="7" t="s">
        <v>73</v>
      </c>
      <c r="I26" s="7" t="s">
        <v>74</v>
      </c>
      <c r="J26" s="11"/>
      <c r="K26" s="11"/>
      <c r="L26" s="11"/>
      <c r="M26" s="11"/>
      <c r="N26" s="11"/>
      <c r="O26" s="11"/>
      <c r="P26" s="11"/>
      <c r="Q26" s="11"/>
    </row>
    <row r="27" spans="1:17">
      <c r="A27" s="7" t="s">
        <v>11</v>
      </c>
      <c r="B27" s="7" t="s">
        <v>69</v>
      </c>
      <c r="C27" s="7" t="s">
        <v>77</v>
      </c>
      <c r="D27" s="7" t="s">
        <v>78</v>
      </c>
      <c r="E27" s="8" t="s">
        <v>18</v>
      </c>
      <c r="F27" s="9" t="s">
        <v>72</v>
      </c>
      <c r="G27" s="8">
        <v>3</v>
      </c>
      <c r="H27" s="7" t="s">
        <v>33</v>
      </c>
      <c r="I27" s="7" t="s">
        <v>43</v>
      </c>
      <c r="J27" s="8">
        <v>145</v>
      </c>
      <c r="K27" s="8">
        <v>152.25</v>
      </c>
      <c r="L27" s="8">
        <v>129</v>
      </c>
      <c r="M27" s="8">
        <v>135.44999999999999</v>
      </c>
      <c r="N27" s="8">
        <v>109</v>
      </c>
      <c r="O27" s="8">
        <v>114.45</v>
      </c>
      <c r="P27" s="8">
        <v>109</v>
      </c>
      <c r="Q27" s="8">
        <v>114.45</v>
      </c>
    </row>
    <row r="28" spans="1:17">
      <c r="A28" s="7" t="s">
        <v>11</v>
      </c>
      <c r="B28" s="7" t="s">
        <v>69</v>
      </c>
      <c r="C28" s="7" t="s">
        <v>77</v>
      </c>
      <c r="D28" s="7" t="s">
        <v>78</v>
      </c>
      <c r="E28" s="8" t="s">
        <v>18</v>
      </c>
      <c r="F28" s="9" t="s">
        <v>75</v>
      </c>
      <c r="G28" s="8">
        <v>3</v>
      </c>
      <c r="H28" s="7" t="s">
        <v>43</v>
      </c>
      <c r="I28" s="7" t="s">
        <v>44</v>
      </c>
      <c r="J28" s="11"/>
      <c r="K28" s="11"/>
      <c r="L28" s="11"/>
      <c r="M28" s="11"/>
      <c r="N28" s="11"/>
      <c r="O28" s="11"/>
      <c r="P28" s="11"/>
      <c r="Q28" s="11"/>
    </row>
    <row r="29" spans="1:17">
      <c r="A29" s="7" t="s">
        <v>11</v>
      </c>
      <c r="B29" s="7" t="s">
        <v>69</v>
      </c>
      <c r="C29" s="7" t="s">
        <v>77</v>
      </c>
      <c r="D29" s="7" t="s">
        <v>78</v>
      </c>
      <c r="E29" s="8" t="s">
        <v>18</v>
      </c>
      <c r="F29" s="9" t="s">
        <v>76</v>
      </c>
      <c r="G29" s="8">
        <v>3</v>
      </c>
      <c r="H29" s="7" t="s">
        <v>33</v>
      </c>
      <c r="I29" s="7" t="s">
        <v>43</v>
      </c>
      <c r="J29" s="11"/>
      <c r="K29" s="11"/>
      <c r="L29" s="11"/>
      <c r="M29" s="11"/>
      <c r="N29" s="11"/>
      <c r="O29" s="11"/>
      <c r="P29" s="11"/>
      <c r="Q29" s="11"/>
    </row>
    <row r="30" spans="1:17">
      <c r="A30" s="13" t="s">
        <v>79</v>
      </c>
      <c r="B30" s="13" t="s">
        <v>80</v>
      </c>
      <c r="C30" s="13" t="s">
        <v>81</v>
      </c>
      <c r="D30" s="13" t="s">
        <v>82</v>
      </c>
      <c r="E30" s="14" t="s">
        <v>18</v>
      </c>
      <c r="F30" s="9" t="s">
        <v>83</v>
      </c>
      <c r="G30" s="14">
        <v>3</v>
      </c>
      <c r="H30" s="15">
        <v>400</v>
      </c>
      <c r="I30" s="15">
        <v>800</v>
      </c>
      <c r="J30" s="16">
        <v>2.5000000000000001E-2</v>
      </c>
      <c r="K30" s="16">
        <v>1.4999999999999999E-2</v>
      </c>
      <c r="L30" s="16">
        <v>2.5000000000000001E-2</v>
      </c>
      <c r="M30" s="16">
        <v>1.4999999999999999E-2</v>
      </c>
      <c r="N30" s="16">
        <v>2.5000000000000001E-2</v>
      </c>
      <c r="O30" s="16">
        <v>1.4999999999999999E-2</v>
      </c>
      <c r="P30" s="16">
        <v>2.5000000000000001E-2</v>
      </c>
      <c r="Q30" s="16">
        <v>1.4999999999999999E-2</v>
      </c>
    </row>
    <row r="31" spans="1:17">
      <c r="A31" s="13" t="s">
        <v>79</v>
      </c>
      <c r="B31" s="13" t="s">
        <v>80</v>
      </c>
      <c r="C31" s="13" t="s">
        <v>81</v>
      </c>
      <c r="D31" s="13" t="s">
        <v>82</v>
      </c>
      <c r="E31" s="14" t="s">
        <v>18</v>
      </c>
      <c r="F31" s="9" t="s">
        <v>84</v>
      </c>
      <c r="G31" s="14">
        <v>3</v>
      </c>
      <c r="H31" s="15">
        <v>400</v>
      </c>
      <c r="I31" s="15">
        <v>800</v>
      </c>
      <c r="J31" s="14">
        <v>6</v>
      </c>
      <c r="K31" s="14">
        <v>4</v>
      </c>
      <c r="L31" s="14">
        <v>6</v>
      </c>
      <c r="M31" s="14">
        <v>4</v>
      </c>
      <c r="N31" s="14">
        <v>6</v>
      </c>
      <c r="O31" s="14">
        <v>4</v>
      </c>
      <c r="P31" s="14">
        <v>6</v>
      </c>
      <c r="Q31" s="14">
        <v>4</v>
      </c>
    </row>
    <row r="32" spans="1:17">
      <c r="A32" s="13" t="s">
        <v>79</v>
      </c>
      <c r="B32" s="13" t="s">
        <v>80</v>
      </c>
      <c r="C32" s="13" t="s">
        <v>85</v>
      </c>
      <c r="D32" s="13" t="s">
        <v>86</v>
      </c>
      <c r="E32" s="14" t="s">
        <v>18</v>
      </c>
      <c r="F32" s="9" t="s">
        <v>87</v>
      </c>
      <c r="G32" s="14">
        <v>2</v>
      </c>
      <c r="H32" s="13" t="s">
        <v>88</v>
      </c>
      <c r="I32" s="13" t="s">
        <v>89</v>
      </c>
      <c r="J32" s="17">
        <v>0.7</v>
      </c>
      <c r="K32" s="16">
        <v>0.73499999999999999</v>
      </c>
      <c r="L32" s="17">
        <v>0.7</v>
      </c>
      <c r="M32" s="16">
        <v>0.73499999999999999</v>
      </c>
      <c r="N32" s="17">
        <v>0.7</v>
      </c>
      <c r="O32" s="16">
        <v>0.73499999999999999</v>
      </c>
      <c r="P32" s="17">
        <v>0.7</v>
      </c>
      <c r="Q32" s="16">
        <v>0.73499999999999999</v>
      </c>
    </row>
    <row r="33" spans="1:17">
      <c r="A33" s="13" t="s">
        <v>79</v>
      </c>
      <c r="B33" s="13" t="s">
        <v>80</v>
      </c>
      <c r="C33" s="13" t="s">
        <v>90</v>
      </c>
      <c r="D33" s="13" t="s">
        <v>91</v>
      </c>
      <c r="E33" s="14" t="s">
        <v>18</v>
      </c>
      <c r="F33" s="9" t="s">
        <v>84</v>
      </c>
      <c r="G33" s="14">
        <v>1</v>
      </c>
      <c r="H33" s="18">
        <v>200</v>
      </c>
      <c r="I33" s="18">
        <v>400</v>
      </c>
      <c r="J33" s="14">
        <v>6</v>
      </c>
      <c r="K33" s="14">
        <v>4</v>
      </c>
      <c r="L33" s="14">
        <v>6</v>
      </c>
      <c r="M33" s="14">
        <v>4</v>
      </c>
      <c r="N33" s="14">
        <v>6</v>
      </c>
      <c r="O33" s="14">
        <v>4</v>
      </c>
      <c r="P33" s="14">
        <v>6</v>
      </c>
      <c r="Q33" s="14">
        <v>4</v>
      </c>
    </row>
    <row r="34" spans="1:17">
      <c r="A34" s="13" t="s">
        <v>79</v>
      </c>
      <c r="B34" s="13" t="s">
        <v>80</v>
      </c>
      <c r="C34" s="13" t="s">
        <v>92</v>
      </c>
      <c r="D34" s="13" t="s">
        <v>91</v>
      </c>
      <c r="E34" s="14" t="s">
        <v>18</v>
      </c>
      <c r="F34" s="9" t="s">
        <v>84</v>
      </c>
      <c r="G34" s="14">
        <v>1</v>
      </c>
      <c r="H34" s="18">
        <v>200</v>
      </c>
      <c r="I34" s="18">
        <v>400</v>
      </c>
      <c r="J34" s="14">
        <v>6</v>
      </c>
      <c r="K34" s="14">
        <v>4</v>
      </c>
      <c r="L34" s="14">
        <v>6</v>
      </c>
      <c r="M34" s="14">
        <v>4</v>
      </c>
      <c r="N34" s="14">
        <v>6</v>
      </c>
      <c r="O34" s="14">
        <v>4</v>
      </c>
      <c r="P34" s="14">
        <v>6</v>
      </c>
      <c r="Q34" s="14">
        <v>4</v>
      </c>
    </row>
    <row r="35" spans="1:17">
      <c r="A35" s="13" t="s">
        <v>79</v>
      </c>
      <c r="B35" s="13" t="s">
        <v>80</v>
      </c>
      <c r="C35" s="13" t="s">
        <v>93</v>
      </c>
      <c r="D35" s="13" t="s">
        <v>91</v>
      </c>
      <c r="E35" s="14" t="s">
        <v>18</v>
      </c>
      <c r="F35" s="9" t="s">
        <v>84</v>
      </c>
      <c r="G35" s="14">
        <v>1</v>
      </c>
      <c r="H35" s="18">
        <v>200</v>
      </c>
      <c r="I35" s="18">
        <v>400</v>
      </c>
      <c r="J35" s="14">
        <v>6</v>
      </c>
      <c r="K35" s="14">
        <v>4</v>
      </c>
      <c r="L35" s="14">
        <v>6</v>
      </c>
      <c r="M35" s="14">
        <v>4</v>
      </c>
      <c r="N35" s="14">
        <v>6</v>
      </c>
      <c r="O35" s="14">
        <v>4</v>
      </c>
      <c r="P35" s="14">
        <v>6</v>
      </c>
      <c r="Q35" s="14">
        <v>4</v>
      </c>
    </row>
    <row r="36" spans="1:17">
      <c r="A36" s="13" t="s">
        <v>79</v>
      </c>
      <c r="B36" s="13" t="s">
        <v>80</v>
      </c>
      <c r="C36" s="13" t="s">
        <v>94</v>
      </c>
      <c r="D36" s="13" t="s">
        <v>95</v>
      </c>
      <c r="E36" s="14" t="s">
        <v>18</v>
      </c>
      <c r="F36" s="9" t="s">
        <v>83</v>
      </c>
      <c r="G36" s="14">
        <v>4</v>
      </c>
      <c r="H36" s="13" t="s">
        <v>43</v>
      </c>
      <c r="I36" s="13" t="s">
        <v>44</v>
      </c>
      <c r="J36" s="16">
        <v>2.5000000000000001E-2</v>
      </c>
      <c r="K36" s="16">
        <v>1.4999999999999999E-2</v>
      </c>
      <c r="L36" s="16">
        <v>2.5000000000000001E-2</v>
      </c>
      <c r="M36" s="16">
        <v>1.4999999999999999E-2</v>
      </c>
      <c r="N36" s="16">
        <v>2.5000000000000001E-2</v>
      </c>
      <c r="O36" s="16">
        <v>1.4999999999999999E-2</v>
      </c>
      <c r="P36" s="16">
        <v>2.5000000000000001E-2</v>
      </c>
      <c r="Q36" s="16">
        <v>1.4999999999999999E-2</v>
      </c>
    </row>
    <row r="37" spans="1:17" ht="14.25">
      <c r="A37" s="13" t="s">
        <v>79</v>
      </c>
      <c r="B37" s="13" t="s">
        <v>80</v>
      </c>
      <c r="C37" s="13" t="s">
        <v>94</v>
      </c>
      <c r="D37" s="13" t="s">
        <v>95</v>
      </c>
      <c r="E37" s="14" t="s">
        <v>18</v>
      </c>
      <c r="F37" s="13" t="s">
        <v>96</v>
      </c>
      <c r="G37" s="14">
        <v>4</v>
      </c>
      <c r="H37" s="13" t="s">
        <v>43</v>
      </c>
      <c r="I37" s="13" t="s">
        <v>44</v>
      </c>
      <c r="J37" s="14">
        <v>3</v>
      </c>
      <c r="K37" s="14">
        <v>2</v>
      </c>
      <c r="L37" s="14">
        <v>3</v>
      </c>
      <c r="M37" s="14">
        <v>2</v>
      </c>
      <c r="N37" s="14">
        <v>3</v>
      </c>
      <c r="O37" s="14">
        <v>2</v>
      </c>
      <c r="P37" s="14">
        <v>3</v>
      </c>
      <c r="Q37" s="14">
        <v>2</v>
      </c>
    </row>
    <row r="38" spans="1:17" ht="14.25">
      <c r="A38" s="13" t="s">
        <v>79</v>
      </c>
      <c r="B38" s="13" t="s">
        <v>80</v>
      </c>
      <c r="C38" s="13" t="s">
        <v>94</v>
      </c>
      <c r="D38" s="13" t="s">
        <v>95</v>
      </c>
      <c r="E38" s="14" t="s">
        <v>18</v>
      </c>
      <c r="F38" s="13" t="s">
        <v>97</v>
      </c>
      <c r="G38" s="14">
        <v>4</v>
      </c>
      <c r="H38" s="13" t="s">
        <v>43</v>
      </c>
      <c r="I38" s="13" t="s">
        <v>44</v>
      </c>
      <c r="J38" s="19">
        <v>433956.24</v>
      </c>
      <c r="K38" s="19">
        <v>455654.05</v>
      </c>
      <c r="L38" s="19">
        <v>1969244.64</v>
      </c>
      <c r="M38" s="19">
        <v>2067706.87</v>
      </c>
      <c r="N38" s="19">
        <v>1872080.67</v>
      </c>
      <c r="O38" s="19">
        <v>1965684.7</v>
      </c>
      <c r="P38" s="19">
        <v>1480776.45</v>
      </c>
      <c r="Q38" s="19">
        <v>1554815.27</v>
      </c>
    </row>
    <row r="39" spans="1:17" ht="14.25">
      <c r="A39" s="13" t="s">
        <v>79</v>
      </c>
      <c r="B39" s="13" t="s">
        <v>98</v>
      </c>
      <c r="C39" s="13" t="s">
        <v>99</v>
      </c>
      <c r="D39" s="13" t="s">
        <v>100</v>
      </c>
      <c r="E39" s="14" t="s">
        <v>18</v>
      </c>
      <c r="F39" s="13" t="s">
        <v>101</v>
      </c>
      <c r="G39" s="14">
        <v>3</v>
      </c>
      <c r="H39" s="13" t="s">
        <v>88</v>
      </c>
      <c r="I39" s="13" t="s">
        <v>89</v>
      </c>
      <c r="J39" s="17">
        <v>0.9</v>
      </c>
      <c r="K39" s="17">
        <v>0.95</v>
      </c>
      <c r="L39" s="17">
        <v>0.9</v>
      </c>
      <c r="M39" s="17">
        <v>0.95</v>
      </c>
      <c r="N39" s="17">
        <v>0.9</v>
      </c>
      <c r="O39" s="17">
        <v>0.95</v>
      </c>
      <c r="P39" s="17">
        <v>0.9</v>
      </c>
      <c r="Q39" s="17">
        <v>0.95</v>
      </c>
    </row>
    <row r="40" spans="1:17" ht="14.25">
      <c r="A40" s="13" t="s">
        <v>79</v>
      </c>
      <c r="B40" s="13" t="s">
        <v>98</v>
      </c>
      <c r="C40" s="13" t="s">
        <v>99</v>
      </c>
      <c r="D40" s="13" t="s">
        <v>100</v>
      </c>
      <c r="E40" s="14" t="s">
        <v>18</v>
      </c>
      <c r="F40" s="13" t="s">
        <v>102</v>
      </c>
      <c r="G40" s="14">
        <v>3</v>
      </c>
      <c r="H40" s="13" t="s">
        <v>88</v>
      </c>
      <c r="I40" s="13" t="s">
        <v>89</v>
      </c>
      <c r="J40" s="19">
        <v>460000</v>
      </c>
      <c r="K40" s="19">
        <v>437000</v>
      </c>
      <c r="L40" s="19">
        <v>460000</v>
      </c>
      <c r="M40" s="19">
        <v>437000</v>
      </c>
      <c r="N40" s="19">
        <v>460000</v>
      </c>
      <c r="O40" s="19">
        <v>437000</v>
      </c>
      <c r="P40" s="19">
        <v>460000</v>
      </c>
      <c r="Q40" s="19">
        <v>437000</v>
      </c>
    </row>
    <row r="41" spans="1:17" ht="14.25">
      <c r="A41" s="13" t="s">
        <v>79</v>
      </c>
      <c r="B41" s="13" t="s">
        <v>103</v>
      </c>
      <c r="C41" s="13" t="s">
        <v>104</v>
      </c>
      <c r="D41" s="13" t="s">
        <v>105</v>
      </c>
      <c r="E41" s="14" t="s">
        <v>18</v>
      </c>
      <c r="F41" s="13" t="s">
        <v>106</v>
      </c>
      <c r="G41" s="14">
        <v>3</v>
      </c>
      <c r="H41" s="13" t="s">
        <v>89</v>
      </c>
      <c r="I41" s="13" t="s">
        <v>107</v>
      </c>
      <c r="J41" s="14" t="s">
        <v>108</v>
      </c>
      <c r="K41" s="14" t="s">
        <v>108</v>
      </c>
      <c r="L41" s="16">
        <v>3.3E-3</v>
      </c>
      <c r="M41" s="16">
        <v>8.0000000000000004E-4</v>
      </c>
      <c r="N41" s="16">
        <v>3.5000000000000001E-3</v>
      </c>
      <c r="O41" s="16">
        <v>1E-3</v>
      </c>
      <c r="P41" s="16">
        <v>3.2000000000000002E-3</v>
      </c>
      <c r="Q41" s="16">
        <v>6.9999999999999999E-4</v>
      </c>
    </row>
    <row r="42" spans="1:17" ht="14.25">
      <c r="A42" s="13" t="s">
        <v>79</v>
      </c>
      <c r="B42" s="13" t="s">
        <v>103</v>
      </c>
      <c r="C42" s="13" t="s">
        <v>109</v>
      </c>
      <c r="D42" s="13" t="s">
        <v>105</v>
      </c>
      <c r="E42" s="14" t="s">
        <v>18</v>
      </c>
      <c r="F42" s="13" t="s">
        <v>110</v>
      </c>
      <c r="G42" s="14">
        <v>3</v>
      </c>
      <c r="H42" s="13" t="s">
        <v>89</v>
      </c>
      <c r="I42" s="13" t="s">
        <v>107</v>
      </c>
      <c r="J42" s="14" t="s">
        <v>108</v>
      </c>
      <c r="K42" s="14" t="s">
        <v>108</v>
      </c>
      <c r="L42" s="16">
        <v>5.1999999999999998E-3</v>
      </c>
      <c r="M42" s="16">
        <v>-8.6E-3</v>
      </c>
      <c r="N42" s="16">
        <v>5.0000000000000001E-3</v>
      </c>
      <c r="O42" s="16">
        <v>-8.3999999999999995E-3</v>
      </c>
      <c r="P42" s="16">
        <v>5.5999999999999999E-3</v>
      </c>
      <c r="Q42" s="16">
        <v>-8.6999999999999994E-3</v>
      </c>
    </row>
    <row r="43" spans="1:17" ht="14.25">
      <c r="A43" s="13" t="s">
        <v>79</v>
      </c>
      <c r="B43" s="13" t="s">
        <v>103</v>
      </c>
      <c r="C43" s="13" t="s">
        <v>111</v>
      </c>
      <c r="D43" s="13" t="s">
        <v>105</v>
      </c>
      <c r="E43" s="14" t="s">
        <v>18</v>
      </c>
      <c r="F43" s="13" t="s">
        <v>112</v>
      </c>
      <c r="G43" s="14">
        <v>3</v>
      </c>
      <c r="H43" s="13" t="s">
        <v>89</v>
      </c>
      <c r="I43" s="13" t="s">
        <v>107</v>
      </c>
      <c r="J43" s="14" t="s">
        <v>108</v>
      </c>
      <c r="K43" s="14" t="s">
        <v>108</v>
      </c>
      <c r="L43" s="16">
        <v>3.3E-3</v>
      </c>
      <c r="M43" s="16">
        <v>-6.7000000000000002E-3</v>
      </c>
      <c r="N43" s="16">
        <v>3.5000000000000001E-3</v>
      </c>
      <c r="O43" s="16">
        <v>-6.8999999999999999E-3</v>
      </c>
      <c r="P43" s="16">
        <v>3.2000000000000002E-3</v>
      </c>
      <c r="Q43" s="16">
        <v>-6.3E-3</v>
      </c>
    </row>
    <row r="44" spans="1:17" ht="14.25">
      <c r="A44" s="13" t="s">
        <v>79</v>
      </c>
      <c r="B44" s="13" t="s">
        <v>103</v>
      </c>
      <c r="C44" s="13" t="s">
        <v>113</v>
      </c>
      <c r="D44" s="13" t="s">
        <v>105</v>
      </c>
      <c r="E44" s="14" t="s">
        <v>18</v>
      </c>
      <c r="F44" s="13" t="s">
        <v>106</v>
      </c>
      <c r="G44" s="14">
        <v>3</v>
      </c>
      <c r="H44" s="13" t="s">
        <v>89</v>
      </c>
      <c r="I44" s="13" t="s">
        <v>107</v>
      </c>
      <c r="J44" s="14" t="s">
        <v>108</v>
      </c>
      <c r="K44" s="14" t="s">
        <v>108</v>
      </c>
      <c r="L44" s="16">
        <v>3.3E-3</v>
      </c>
      <c r="M44" s="16">
        <v>8.0000000000000004E-4</v>
      </c>
      <c r="N44" s="16">
        <v>3.5000000000000001E-3</v>
      </c>
      <c r="O44" s="16">
        <v>1E-3</v>
      </c>
      <c r="P44" s="16">
        <v>3.2000000000000002E-3</v>
      </c>
      <c r="Q44" s="16">
        <v>6.9999999999999999E-4</v>
      </c>
    </row>
    <row r="45" spans="1:17" ht="14.25">
      <c r="A45" s="13" t="s">
        <v>79</v>
      </c>
      <c r="B45" s="13" t="s">
        <v>114</v>
      </c>
      <c r="C45" s="13" t="s">
        <v>115</v>
      </c>
      <c r="D45" s="13" t="s">
        <v>116</v>
      </c>
      <c r="E45" s="14" t="s">
        <v>18</v>
      </c>
      <c r="F45" s="13" t="s">
        <v>117</v>
      </c>
      <c r="G45" s="14">
        <v>3</v>
      </c>
      <c r="H45" s="15">
        <v>400</v>
      </c>
      <c r="I45" s="15">
        <v>800</v>
      </c>
      <c r="J45" s="14">
        <v>28</v>
      </c>
      <c r="K45" s="14">
        <v>32</v>
      </c>
      <c r="L45" s="14">
        <v>28</v>
      </c>
      <c r="M45" s="14">
        <v>32</v>
      </c>
      <c r="N45" s="14">
        <v>28</v>
      </c>
      <c r="O45" s="14">
        <v>32</v>
      </c>
      <c r="P45" s="14">
        <v>28</v>
      </c>
      <c r="Q45" s="14">
        <v>32</v>
      </c>
    </row>
    <row r="46" spans="1:17" ht="14.25">
      <c r="A46" s="13" t="s">
        <v>79</v>
      </c>
      <c r="B46" s="13" t="s">
        <v>114</v>
      </c>
      <c r="C46" s="13" t="s">
        <v>115</v>
      </c>
      <c r="D46" s="13" t="s">
        <v>116</v>
      </c>
      <c r="E46" s="14" t="s">
        <v>18</v>
      </c>
      <c r="F46" s="13" t="s">
        <v>118</v>
      </c>
      <c r="G46" s="14">
        <v>3</v>
      </c>
      <c r="H46" s="15">
        <v>400</v>
      </c>
      <c r="I46" s="15">
        <v>800</v>
      </c>
      <c r="J46" s="14">
        <v>6</v>
      </c>
      <c r="K46" s="14">
        <v>4</v>
      </c>
      <c r="L46" s="14">
        <v>6</v>
      </c>
      <c r="M46" s="14">
        <v>4</v>
      </c>
      <c r="N46" s="14">
        <v>6</v>
      </c>
      <c r="O46" s="14">
        <v>4</v>
      </c>
      <c r="P46" s="14">
        <v>6</v>
      </c>
      <c r="Q46" s="14">
        <v>4</v>
      </c>
    </row>
    <row r="47" spans="1:17" ht="14.25">
      <c r="A47" s="13" t="s">
        <v>79</v>
      </c>
      <c r="B47" s="13" t="s">
        <v>114</v>
      </c>
      <c r="C47" s="13" t="s">
        <v>119</v>
      </c>
      <c r="D47" s="13" t="s">
        <v>120</v>
      </c>
      <c r="E47" s="14" t="s">
        <v>18</v>
      </c>
      <c r="F47" s="13" t="s">
        <v>121</v>
      </c>
      <c r="G47" s="14">
        <v>1</v>
      </c>
      <c r="H47" s="18">
        <v>200</v>
      </c>
      <c r="I47" s="18">
        <v>400</v>
      </c>
      <c r="J47" s="14">
        <v>10</v>
      </c>
      <c r="K47" s="14">
        <v>8</v>
      </c>
      <c r="L47" s="14">
        <v>10</v>
      </c>
      <c r="M47" s="14">
        <v>8</v>
      </c>
      <c r="N47" s="14">
        <v>10</v>
      </c>
      <c r="O47" s="14">
        <v>8</v>
      </c>
      <c r="P47" s="14">
        <v>10</v>
      </c>
      <c r="Q47" s="14">
        <v>8</v>
      </c>
    </row>
    <row r="48" spans="1:17" ht="14.25">
      <c r="A48" s="13" t="s">
        <v>79</v>
      </c>
      <c r="B48" s="13" t="s">
        <v>79</v>
      </c>
      <c r="C48" s="13" t="s">
        <v>122</v>
      </c>
      <c r="D48" s="13" t="s">
        <v>123</v>
      </c>
      <c r="E48" s="14" t="s">
        <v>18</v>
      </c>
      <c r="F48" s="13" t="s">
        <v>124</v>
      </c>
      <c r="G48" s="14">
        <v>6</v>
      </c>
      <c r="H48" s="20">
        <v>1000</v>
      </c>
      <c r="I48" s="20">
        <v>2000</v>
      </c>
      <c r="J48" s="19">
        <v>1119371.1299999999</v>
      </c>
      <c r="K48" s="19">
        <v>1063402.57</v>
      </c>
      <c r="L48" s="19">
        <v>1170780.6599999999</v>
      </c>
      <c r="M48" s="19">
        <v>1112241.6299999999</v>
      </c>
      <c r="N48" s="19">
        <v>1134574.26</v>
      </c>
      <c r="O48" s="19">
        <v>1077845.55</v>
      </c>
      <c r="P48" s="19">
        <v>1125443.33</v>
      </c>
      <c r="Q48" s="19">
        <v>1069171.1599999999</v>
      </c>
    </row>
    <row r="49" spans="1:17" ht="14.25">
      <c r="A49" s="13" t="s">
        <v>79</v>
      </c>
      <c r="B49" s="13" t="s">
        <v>79</v>
      </c>
      <c r="C49" s="13" t="s">
        <v>122</v>
      </c>
      <c r="D49" s="13" t="s">
        <v>123</v>
      </c>
      <c r="E49" s="14" t="s">
        <v>18</v>
      </c>
      <c r="F49" s="13" t="s">
        <v>97</v>
      </c>
      <c r="G49" s="14">
        <v>6</v>
      </c>
      <c r="H49" s="20">
        <v>700</v>
      </c>
      <c r="I49" s="20">
        <v>1400</v>
      </c>
      <c r="J49" s="19">
        <v>433956.24</v>
      </c>
      <c r="K49" s="19">
        <v>455654.05</v>
      </c>
      <c r="L49" s="19">
        <v>1969244.64</v>
      </c>
      <c r="M49" s="19">
        <v>2067706.87</v>
      </c>
      <c r="N49" s="19">
        <v>1872080.67</v>
      </c>
      <c r="O49" s="19">
        <v>1965684.7</v>
      </c>
      <c r="P49" s="19">
        <v>1480776.45</v>
      </c>
      <c r="Q49" s="19">
        <v>1554815.27</v>
      </c>
    </row>
    <row r="50" spans="1:17" ht="14.25">
      <c r="A50" s="13" t="s">
        <v>79</v>
      </c>
      <c r="B50" s="13" t="s">
        <v>79</v>
      </c>
      <c r="C50" s="13" t="s">
        <v>122</v>
      </c>
      <c r="D50" s="13" t="s">
        <v>123</v>
      </c>
      <c r="E50" s="14" t="s">
        <v>18</v>
      </c>
      <c r="F50" s="13" t="s">
        <v>125</v>
      </c>
      <c r="G50" s="14">
        <v>6</v>
      </c>
      <c r="H50" s="20">
        <v>2300</v>
      </c>
      <c r="I50" s="20">
        <v>4600</v>
      </c>
      <c r="J50" s="19">
        <v>5044127.07</v>
      </c>
      <c r="K50" s="19">
        <v>5296333.42</v>
      </c>
      <c r="L50" s="19">
        <v>1886855.39</v>
      </c>
      <c r="M50" s="19">
        <v>1981198.16</v>
      </c>
      <c r="N50" s="19">
        <v>2317224.4900000002</v>
      </c>
      <c r="O50" s="19">
        <v>2433085.71</v>
      </c>
      <c r="P50" s="19">
        <v>1645769.97</v>
      </c>
      <c r="Q50" s="19">
        <v>1728058.47</v>
      </c>
    </row>
    <row r="51" spans="1:17" ht="14.25">
      <c r="A51" s="13" t="s">
        <v>79</v>
      </c>
      <c r="B51" s="13" t="s">
        <v>79</v>
      </c>
      <c r="C51" s="13" t="s">
        <v>122</v>
      </c>
      <c r="D51" s="13" t="s">
        <v>123</v>
      </c>
      <c r="E51" s="14" t="s">
        <v>18</v>
      </c>
      <c r="F51" s="13" t="s">
        <v>126</v>
      </c>
      <c r="G51" s="14">
        <v>6</v>
      </c>
      <c r="H51" s="20">
        <v>1400</v>
      </c>
      <c r="I51" s="20">
        <v>2800</v>
      </c>
      <c r="J51" s="19">
        <v>240348.51</v>
      </c>
      <c r="K51" s="19">
        <v>228331.08</v>
      </c>
      <c r="L51" s="19">
        <v>223956.14</v>
      </c>
      <c r="M51" s="19">
        <v>212758.33</v>
      </c>
      <c r="N51" s="19">
        <v>229770.07</v>
      </c>
      <c r="O51" s="19">
        <v>218281.57</v>
      </c>
      <c r="P51" s="19">
        <v>190649.5</v>
      </c>
      <c r="Q51" s="19">
        <v>181117.03</v>
      </c>
    </row>
    <row r="52" spans="1:17" ht="14.25">
      <c r="A52" s="7" t="s">
        <v>79</v>
      </c>
      <c r="B52" s="7" t="s">
        <v>127</v>
      </c>
      <c r="C52" s="7" t="s">
        <v>128</v>
      </c>
      <c r="D52" s="7" t="s">
        <v>129</v>
      </c>
      <c r="E52" s="8" t="s">
        <v>18</v>
      </c>
      <c r="F52" s="7" t="s">
        <v>97</v>
      </c>
      <c r="G52" s="8">
        <v>5</v>
      </c>
      <c r="H52" s="21" t="s">
        <v>130</v>
      </c>
      <c r="I52" s="21" t="s">
        <v>131</v>
      </c>
      <c r="J52" s="10">
        <v>433956.24</v>
      </c>
      <c r="K52" s="10">
        <v>455654.05</v>
      </c>
      <c r="L52" s="10">
        <v>1969244.64</v>
      </c>
      <c r="M52" s="10">
        <v>2067706.87</v>
      </c>
      <c r="N52" s="10">
        <v>1872080.67</v>
      </c>
      <c r="O52" s="10">
        <v>1965684.7</v>
      </c>
      <c r="P52" s="10">
        <v>1480776.45</v>
      </c>
      <c r="Q52" s="10">
        <v>1554815.27</v>
      </c>
    </row>
    <row r="53" spans="1:17" ht="14.25">
      <c r="A53" s="7" t="s">
        <v>79</v>
      </c>
      <c r="B53" s="7" t="s">
        <v>127</v>
      </c>
      <c r="C53" s="7" t="s">
        <v>128</v>
      </c>
      <c r="D53" s="7" t="s">
        <v>129</v>
      </c>
      <c r="E53" s="8" t="s">
        <v>18</v>
      </c>
      <c r="F53" s="7" t="s">
        <v>132</v>
      </c>
      <c r="G53" s="8">
        <v>5</v>
      </c>
      <c r="H53" s="22"/>
      <c r="I53" s="22"/>
      <c r="J53" s="10">
        <v>426880.52</v>
      </c>
      <c r="K53" s="10">
        <v>405536.49</v>
      </c>
      <c r="L53" s="10">
        <v>408240.24</v>
      </c>
      <c r="M53" s="10">
        <v>387828.23</v>
      </c>
      <c r="N53" s="10">
        <v>415132.84</v>
      </c>
      <c r="O53" s="10">
        <v>394376.2</v>
      </c>
      <c r="P53" s="10">
        <v>385549.78</v>
      </c>
      <c r="Q53" s="10">
        <v>366272.29</v>
      </c>
    </row>
    <row r="54" spans="1:17" ht="14.25">
      <c r="A54" s="7" t="s">
        <v>79</v>
      </c>
      <c r="B54" s="7" t="s">
        <v>127</v>
      </c>
      <c r="C54" s="7" t="s">
        <v>128</v>
      </c>
      <c r="D54" s="7" t="s">
        <v>129</v>
      </c>
      <c r="E54" s="8" t="s">
        <v>18</v>
      </c>
      <c r="F54" s="7" t="s">
        <v>133</v>
      </c>
      <c r="G54" s="8">
        <v>5</v>
      </c>
      <c r="H54" s="21" t="s">
        <v>134</v>
      </c>
      <c r="I54" s="21" t="s">
        <v>135</v>
      </c>
      <c r="J54" s="10">
        <v>7437818.2999999998</v>
      </c>
      <c r="K54" s="10">
        <v>7065927.3899999997</v>
      </c>
      <c r="L54" s="10">
        <v>7040222.1100000003</v>
      </c>
      <c r="M54" s="10">
        <v>6688211</v>
      </c>
      <c r="N54" s="10">
        <v>6494449.0099999998</v>
      </c>
      <c r="O54" s="10">
        <v>6169726.5599999996</v>
      </c>
      <c r="P54" s="10">
        <v>6044146.1399999997</v>
      </c>
      <c r="Q54" s="10">
        <v>5741938.8300000001</v>
      </c>
    </row>
    <row r="55" spans="1:17" ht="14.25">
      <c r="A55" s="7" t="s">
        <v>79</v>
      </c>
      <c r="B55" s="7" t="s">
        <v>127</v>
      </c>
      <c r="C55" s="7" t="s">
        <v>128</v>
      </c>
      <c r="D55" s="7" t="s">
        <v>129</v>
      </c>
      <c r="E55" s="8" t="s">
        <v>18</v>
      </c>
      <c r="F55" s="7" t="s">
        <v>136</v>
      </c>
      <c r="G55" s="8">
        <v>5</v>
      </c>
      <c r="H55" s="21" t="s">
        <v>137</v>
      </c>
      <c r="I55" s="21" t="s">
        <v>138</v>
      </c>
      <c r="J55" s="8" t="s">
        <v>108</v>
      </c>
      <c r="K55" s="8" t="s">
        <v>108</v>
      </c>
      <c r="L55" s="23">
        <v>3.3E-3</v>
      </c>
      <c r="M55" s="23">
        <v>-2.9999999999999997E-4</v>
      </c>
      <c r="N55" s="23">
        <v>3.5000000000000001E-3</v>
      </c>
      <c r="O55" s="23">
        <v>-1E-4</v>
      </c>
      <c r="P55" s="23">
        <v>3.2000000000000002E-3</v>
      </c>
      <c r="Q55" s="23">
        <v>-4.0000000000000002E-4</v>
      </c>
    </row>
    <row r="56" spans="1:17" ht="14.25">
      <c r="A56" s="13" t="s">
        <v>79</v>
      </c>
      <c r="B56" s="13" t="s">
        <v>139</v>
      </c>
      <c r="C56" s="13" t="s">
        <v>140</v>
      </c>
      <c r="D56" s="13" t="s">
        <v>141</v>
      </c>
      <c r="E56" s="14" t="s">
        <v>18</v>
      </c>
      <c r="F56" s="13" t="s">
        <v>142</v>
      </c>
      <c r="G56" s="14">
        <v>1</v>
      </c>
      <c r="H56" s="18">
        <v>200</v>
      </c>
      <c r="I56" s="18">
        <v>400</v>
      </c>
      <c r="J56" s="17">
        <v>0.84</v>
      </c>
      <c r="K56" s="16">
        <v>0.88200000000000001</v>
      </c>
      <c r="L56" s="17">
        <v>0.84</v>
      </c>
      <c r="M56" s="16">
        <v>0.88200000000000001</v>
      </c>
      <c r="N56" s="17">
        <v>0.84</v>
      </c>
      <c r="O56" s="16">
        <v>0.88200000000000001</v>
      </c>
      <c r="P56" s="17">
        <v>0.84</v>
      </c>
      <c r="Q56" s="16">
        <v>0.88200000000000001</v>
      </c>
    </row>
    <row r="57" spans="1:17" ht="14.25">
      <c r="A57" s="13" t="s">
        <v>79</v>
      </c>
      <c r="B57" s="13" t="s">
        <v>139</v>
      </c>
      <c r="C57" s="13" t="s">
        <v>143</v>
      </c>
      <c r="D57" s="13" t="s">
        <v>144</v>
      </c>
      <c r="E57" s="14" t="s">
        <v>18</v>
      </c>
      <c r="F57" s="13" t="s">
        <v>145</v>
      </c>
      <c r="G57" s="14">
        <v>2</v>
      </c>
      <c r="H57" s="18">
        <v>200</v>
      </c>
      <c r="I57" s="18">
        <v>400</v>
      </c>
      <c r="J57" s="14">
        <v>3</v>
      </c>
      <c r="K57" s="14">
        <v>2</v>
      </c>
      <c r="L57" s="14">
        <v>3</v>
      </c>
      <c r="M57" s="14">
        <v>2</v>
      </c>
      <c r="N57" s="14">
        <v>3</v>
      </c>
      <c r="O57" s="14">
        <v>2</v>
      </c>
      <c r="P57" s="14">
        <v>3</v>
      </c>
      <c r="Q57" s="14">
        <v>2</v>
      </c>
    </row>
    <row r="58" spans="1:17" ht="14.25">
      <c r="A58" s="13" t="s">
        <v>79</v>
      </c>
      <c r="B58" s="13" t="s">
        <v>139</v>
      </c>
      <c r="C58" s="13" t="s">
        <v>143</v>
      </c>
      <c r="D58" s="13" t="s">
        <v>144</v>
      </c>
      <c r="E58" s="14" t="s">
        <v>18</v>
      </c>
      <c r="F58" s="13" t="s">
        <v>142</v>
      </c>
      <c r="G58" s="14">
        <v>2</v>
      </c>
      <c r="H58" s="18">
        <v>200</v>
      </c>
      <c r="I58" s="18">
        <v>400</v>
      </c>
      <c r="J58" s="17">
        <v>0.84</v>
      </c>
      <c r="K58" s="16">
        <v>0.88200000000000001</v>
      </c>
      <c r="L58" s="17">
        <v>0.84</v>
      </c>
      <c r="M58" s="16">
        <v>0.88200000000000001</v>
      </c>
      <c r="N58" s="17">
        <v>0.84</v>
      </c>
      <c r="O58" s="16">
        <v>0.88200000000000001</v>
      </c>
      <c r="P58" s="17">
        <v>0.84</v>
      </c>
      <c r="Q58" s="16">
        <v>0.88200000000000001</v>
      </c>
    </row>
    <row r="59" spans="1:17" ht="14.25">
      <c r="A59" s="13" t="s">
        <v>79</v>
      </c>
      <c r="B59" s="13" t="s">
        <v>146</v>
      </c>
      <c r="C59" s="13" t="s">
        <v>147</v>
      </c>
      <c r="D59" s="13" t="s">
        <v>148</v>
      </c>
      <c r="E59" s="14" t="s">
        <v>18</v>
      </c>
      <c r="F59" s="13" t="s">
        <v>149</v>
      </c>
      <c r="G59" s="14">
        <v>1</v>
      </c>
      <c r="H59" s="18">
        <v>200</v>
      </c>
      <c r="I59" s="18">
        <v>400</v>
      </c>
      <c r="J59" s="14" t="s">
        <v>108</v>
      </c>
      <c r="K59" s="14" t="s">
        <v>108</v>
      </c>
      <c r="L59" s="16">
        <v>0.92500000000000004</v>
      </c>
      <c r="M59" s="17">
        <v>0.95</v>
      </c>
      <c r="N59" s="16">
        <v>0.92500000000000004</v>
      </c>
      <c r="O59" s="17">
        <v>0.95</v>
      </c>
      <c r="P59" s="16">
        <v>0.92500000000000004</v>
      </c>
      <c r="Q59" s="17">
        <v>0.95</v>
      </c>
    </row>
    <row r="60" spans="1:17" ht="14.25">
      <c r="A60" s="13" t="s">
        <v>79</v>
      </c>
      <c r="B60" s="13" t="s">
        <v>146</v>
      </c>
      <c r="C60" s="13" t="s">
        <v>150</v>
      </c>
      <c r="D60" s="13" t="s">
        <v>151</v>
      </c>
      <c r="E60" s="14" t="s">
        <v>18</v>
      </c>
      <c r="F60" s="13" t="s">
        <v>149</v>
      </c>
      <c r="G60" s="14">
        <v>4</v>
      </c>
      <c r="H60" s="15">
        <v>600</v>
      </c>
      <c r="I60" s="15">
        <v>1200</v>
      </c>
      <c r="J60" s="14" t="s">
        <v>108</v>
      </c>
      <c r="K60" s="14" t="s">
        <v>108</v>
      </c>
      <c r="L60" s="16">
        <v>0.92500000000000004</v>
      </c>
      <c r="M60" s="17">
        <v>0.95</v>
      </c>
      <c r="N60" s="16">
        <v>0.92500000000000004</v>
      </c>
      <c r="O60" s="17">
        <v>0.95</v>
      </c>
      <c r="P60" s="16">
        <v>0.92500000000000004</v>
      </c>
      <c r="Q60" s="17">
        <v>0.95</v>
      </c>
    </row>
    <row r="61" spans="1:17" ht="14.25">
      <c r="A61" s="13" t="s">
        <v>79</v>
      </c>
      <c r="B61" s="13" t="s">
        <v>146</v>
      </c>
      <c r="C61" s="13" t="s">
        <v>150</v>
      </c>
      <c r="D61" s="13" t="s">
        <v>151</v>
      </c>
      <c r="E61" s="14" t="s">
        <v>18</v>
      </c>
      <c r="F61" s="13" t="s">
        <v>152</v>
      </c>
      <c r="G61" s="14">
        <v>4</v>
      </c>
      <c r="H61" s="15">
        <v>600</v>
      </c>
      <c r="I61" s="15">
        <v>1200</v>
      </c>
      <c r="J61" s="19">
        <v>146871.24</v>
      </c>
      <c r="K61" s="19">
        <v>139527.67999999999</v>
      </c>
      <c r="L61" s="19">
        <v>136874.23999999999</v>
      </c>
      <c r="M61" s="19">
        <v>130030.53</v>
      </c>
      <c r="N61" s="19">
        <v>136886.91</v>
      </c>
      <c r="O61" s="19">
        <v>130042.56</v>
      </c>
      <c r="P61" s="19">
        <v>131576.93</v>
      </c>
      <c r="Q61" s="19">
        <v>124998.08</v>
      </c>
    </row>
    <row r="62" spans="1:17" ht="14.25">
      <c r="A62" s="13" t="s">
        <v>79</v>
      </c>
      <c r="B62" s="13" t="s">
        <v>146</v>
      </c>
      <c r="C62" s="13" t="s">
        <v>153</v>
      </c>
      <c r="D62" s="13" t="s">
        <v>154</v>
      </c>
      <c r="E62" s="14" t="s">
        <v>18</v>
      </c>
      <c r="F62" s="13" t="s">
        <v>149</v>
      </c>
      <c r="G62" s="14">
        <v>1</v>
      </c>
      <c r="H62" s="18">
        <v>200</v>
      </c>
      <c r="I62" s="18">
        <v>400</v>
      </c>
      <c r="J62" s="14" t="s">
        <v>108</v>
      </c>
      <c r="K62" s="14" t="s">
        <v>108</v>
      </c>
      <c r="L62" s="16">
        <v>0.92500000000000004</v>
      </c>
      <c r="M62" s="17">
        <v>0.95</v>
      </c>
      <c r="N62" s="16">
        <v>0.92500000000000004</v>
      </c>
      <c r="O62" s="17">
        <v>0.95</v>
      </c>
      <c r="P62" s="16">
        <v>0.92500000000000004</v>
      </c>
      <c r="Q62" s="17">
        <v>0.95</v>
      </c>
    </row>
    <row r="63" spans="1:17" ht="14.25">
      <c r="A63" s="13" t="s">
        <v>79</v>
      </c>
      <c r="B63" s="13" t="s">
        <v>146</v>
      </c>
      <c r="C63" s="13" t="s">
        <v>155</v>
      </c>
      <c r="D63" s="13" t="s">
        <v>156</v>
      </c>
      <c r="E63" s="14" t="s">
        <v>18</v>
      </c>
      <c r="F63" s="13" t="s">
        <v>152</v>
      </c>
      <c r="G63" s="14">
        <v>3</v>
      </c>
      <c r="H63" s="18">
        <v>400</v>
      </c>
      <c r="I63" s="18">
        <v>800</v>
      </c>
      <c r="J63" s="19">
        <v>146871.24</v>
      </c>
      <c r="K63" s="19">
        <v>139527.67999999999</v>
      </c>
      <c r="L63" s="19">
        <v>136874.23999999999</v>
      </c>
      <c r="M63" s="19">
        <v>130030.53</v>
      </c>
      <c r="N63" s="19">
        <v>136886.91</v>
      </c>
      <c r="O63" s="19">
        <v>130042.56</v>
      </c>
      <c r="P63" s="19">
        <v>131576.93</v>
      </c>
      <c r="Q63" s="19">
        <v>124998.08</v>
      </c>
    </row>
    <row r="64" spans="1:17" ht="14.25">
      <c r="A64" s="13" t="s">
        <v>79</v>
      </c>
      <c r="B64" s="13" t="s">
        <v>146</v>
      </c>
      <c r="C64" s="13" t="s">
        <v>155</v>
      </c>
      <c r="D64" s="13" t="s">
        <v>156</v>
      </c>
      <c r="E64" s="14" t="s">
        <v>18</v>
      </c>
      <c r="F64" s="13" t="s">
        <v>157</v>
      </c>
      <c r="G64" s="14">
        <v>3</v>
      </c>
      <c r="H64" s="18">
        <v>400</v>
      </c>
      <c r="I64" s="18">
        <v>800</v>
      </c>
      <c r="J64" s="14" t="s">
        <v>108</v>
      </c>
      <c r="K64" s="14" t="s">
        <v>108</v>
      </c>
      <c r="L64" s="16">
        <v>8.0000000000000004E-4</v>
      </c>
      <c r="M64" s="16">
        <v>5.9999999999999995E-4</v>
      </c>
      <c r="N64" s="16">
        <v>8.0000000000000004E-4</v>
      </c>
      <c r="O64" s="16">
        <v>5.9999999999999995E-4</v>
      </c>
      <c r="P64" s="16">
        <v>8.0000000000000004E-4</v>
      </c>
      <c r="Q64" s="16">
        <v>5.9999999999999995E-4</v>
      </c>
    </row>
    <row r="65" spans="1:17" ht="15">
      <c r="A65" s="24" t="s">
        <v>158</v>
      </c>
      <c r="B65" s="13" t="s">
        <v>158</v>
      </c>
      <c r="C65" s="13" t="s">
        <v>159</v>
      </c>
      <c r="D65" s="13" t="s">
        <v>160</v>
      </c>
      <c r="E65" s="14" t="s">
        <v>18</v>
      </c>
      <c r="F65" s="13" t="s">
        <v>161</v>
      </c>
      <c r="G65" s="14">
        <v>7</v>
      </c>
      <c r="H65" s="13" t="s">
        <v>162</v>
      </c>
      <c r="I65" s="13" t="s">
        <v>163</v>
      </c>
      <c r="J65" s="17">
        <v>0.75</v>
      </c>
      <c r="K65" s="17">
        <v>0.8</v>
      </c>
      <c r="L65" s="17">
        <v>0.75</v>
      </c>
      <c r="M65" s="17">
        <v>0.8</v>
      </c>
      <c r="N65" s="17">
        <v>0.75</v>
      </c>
      <c r="O65" s="17">
        <v>0.8</v>
      </c>
      <c r="P65" s="17">
        <v>0.75</v>
      </c>
      <c r="Q65" s="17">
        <v>0.8</v>
      </c>
    </row>
    <row r="66" spans="1:17" ht="15">
      <c r="A66" s="24" t="s">
        <v>158</v>
      </c>
      <c r="B66" s="13" t="s">
        <v>158</v>
      </c>
      <c r="C66" s="13" t="s">
        <v>159</v>
      </c>
      <c r="D66" s="13" t="s">
        <v>160</v>
      </c>
      <c r="E66" s="14" t="s">
        <v>18</v>
      </c>
      <c r="F66" s="13" t="s">
        <v>125</v>
      </c>
      <c r="G66" s="14">
        <v>7</v>
      </c>
      <c r="H66" s="25">
        <v>0.01</v>
      </c>
      <c r="I66" s="26">
        <v>1.2E-2</v>
      </c>
      <c r="J66" s="19">
        <v>5044127.07</v>
      </c>
      <c r="K66" s="19">
        <v>5296333.42</v>
      </c>
      <c r="L66" s="19">
        <v>1886855.39</v>
      </c>
      <c r="M66" s="19">
        <v>1981198.16</v>
      </c>
      <c r="N66" s="19">
        <v>2317224.4900000002</v>
      </c>
      <c r="O66" s="19">
        <v>2433085.71</v>
      </c>
      <c r="P66" s="19">
        <v>1645769.97</v>
      </c>
      <c r="Q66" s="19">
        <v>1728058.47</v>
      </c>
    </row>
    <row r="67" spans="1:17" ht="15">
      <c r="A67" s="24" t="s">
        <v>158</v>
      </c>
      <c r="B67" s="13" t="s">
        <v>158</v>
      </c>
      <c r="C67" s="13" t="s">
        <v>159</v>
      </c>
      <c r="D67" s="13" t="s">
        <v>160</v>
      </c>
      <c r="E67" s="14" t="s">
        <v>18</v>
      </c>
      <c r="F67" s="13" t="s">
        <v>126</v>
      </c>
      <c r="G67" s="14">
        <v>7</v>
      </c>
      <c r="H67" s="13" t="s">
        <v>162</v>
      </c>
      <c r="I67" s="13" t="s">
        <v>163</v>
      </c>
      <c r="J67" s="19">
        <v>240348.51</v>
      </c>
      <c r="K67" s="19">
        <v>228331.08</v>
      </c>
      <c r="L67" s="19">
        <v>223956.14</v>
      </c>
      <c r="M67" s="19">
        <v>212758.33</v>
      </c>
      <c r="N67" s="19">
        <v>229770.07</v>
      </c>
      <c r="O67" s="19">
        <v>218281.57</v>
      </c>
      <c r="P67" s="19">
        <v>190649.5</v>
      </c>
      <c r="Q67" s="19">
        <v>181117.03</v>
      </c>
    </row>
    <row r="68" spans="1:17" ht="14.25">
      <c r="A68" s="13" t="s">
        <v>164</v>
      </c>
      <c r="B68" s="13" t="s">
        <v>164</v>
      </c>
      <c r="C68" s="13" t="s">
        <v>165</v>
      </c>
      <c r="D68" s="13" t="s">
        <v>166</v>
      </c>
      <c r="E68" s="14" t="s">
        <v>18</v>
      </c>
      <c r="F68" s="13" t="s">
        <v>167</v>
      </c>
      <c r="G68" s="14">
        <v>1</v>
      </c>
      <c r="H68" s="13" t="s">
        <v>168</v>
      </c>
      <c r="I68" s="13" t="s">
        <v>169</v>
      </c>
      <c r="J68" s="17">
        <v>0.8</v>
      </c>
      <c r="K68" s="17">
        <v>0.9</v>
      </c>
      <c r="L68" s="17">
        <v>0.8</v>
      </c>
      <c r="M68" s="17">
        <v>0.9</v>
      </c>
      <c r="N68" s="17">
        <v>0.8</v>
      </c>
      <c r="O68" s="17">
        <v>0.9</v>
      </c>
      <c r="P68" s="17">
        <v>0.8</v>
      </c>
      <c r="Q68" s="17">
        <v>0.9</v>
      </c>
    </row>
    <row r="69" spans="1:17" ht="14.25">
      <c r="A69" s="13" t="s">
        <v>164</v>
      </c>
      <c r="B69" s="13" t="s">
        <v>164</v>
      </c>
      <c r="C69" s="13" t="s">
        <v>165</v>
      </c>
      <c r="D69" s="13" t="s">
        <v>166</v>
      </c>
      <c r="E69" s="14" t="s">
        <v>18</v>
      </c>
      <c r="F69" s="13" t="s">
        <v>170</v>
      </c>
      <c r="G69" s="14">
        <v>1</v>
      </c>
      <c r="H69" s="13" t="s">
        <v>171</v>
      </c>
      <c r="I69" s="13" t="s">
        <v>172</v>
      </c>
      <c r="J69" s="17">
        <v>0.5</v>
      </c>
      <c r="K69" s="17">
        <v>0.6</v>
      </c>
      <c r="L69" s="17">
        <v>0.5</v>
      </c>
      <c r="M69" s="17">
        <v>0.6</v>
      </c>
      <c r="N69" s="17">
        <v>0.5</v>
      </c>
      <c r="O69" s="17">
        <v>0.6</v>
      </c>
      <c r="P69" s="17">
        <v>0.5</v>
      </c>
      <c r="Q69" s="17">
        <v>0.6</v>
      </c>
    </row>
    <row r="70" spans="1:17" ht="14.25">
      <c r="A70" s="7" t="s">
        <v>164</v>
      </c>
      <c r="B70" s="7" t="s">
        <v>164</v>
      </c>
      <c r="C70" s="7" t="s">
        <v>173</v>
      </c>
      <c r="D70" s="7" t="s">
        <v>174</v>
      </c>
      <c r="E70" s="8" t="s">
        <v>18</v>
      </c>
      <c r="F70" s="7" t="s">
        <v>175</v>
      </c>
      <c r="G70" s="8">
        <v>4</v>
      </c>
      <c r="H70" s="7" t="s">
        <v>43</v>
      </c>
      <c r="I70" s="7" t="s">
        <v>44</v>
      </c>
      <c r="J70" s="27">
        <v>0.8</v>
      </c>
      <c r="K70" s="27">
        <v>0.9</v>
      </c>
      <c r="L70" s="27">
        <v>0.8</v>
      </c>
      <c r="M70" s="27">
        <v>0.9</v>
      </c>
      <c r="N70" s="27">
        <v>0.8</v>
      </c>
      <c r="O70" s="27">
        <v>0.9</v>
      </c>
      <c r="P70" s="27">
        <v>0.8</v>
      </c>
      <c r="Q70" s="27">
        <v>0.9</v>
      </c>
    </row>
    <row r="71" spans="1:17" ht="14.25">
      <c r="A71" s="7" t="s">
        <v>164</v>
      </c>
      <c r="B71" s="7" t="s">
        <v>164</v>
      </c>
      <c r="C71" s="7" t="s">
        <v>173</v>
      </c>
      <c r="D71" s="7" t="s">
        <v>174</v>
      </c>
      <c r="E71" s="8" t="s">
        <v>18</v>
      </c>
      <c r="F71" s="7" t="s">
        <v>176</v>
      </c>
      <c r="G71" s="8">
        <v>4</v>
      </c>
      <c r="H71" s="7" t="s">
        <v>43</v>
      </c>
      <c r="I71" s="7" t="s">
        <v>44</v>
      </c>
      <c r="J71" s="27">
        <v>0.7</v>
      </c>
      <c r="K71" s="27">
        <v>0.8</v>
      </c>
      <c r="L71" s="27">
        <v>0.7</v>
      </c>
      <c r="M71" s="27">
        <v>0.8</v>
      </c>
      <c r="N71" s="27">
        <v>0.7</v>
      </c>
      <c r="O71" s="27">
        <v>0.8</v>
      </c>
      <c r="P71" s="27">
        <v>0.7</v>
      </c>
      <c r="Q71" s="27">
        <v>0.8</v>
      </c>
    </row>
    <row r="72" spans="1:17" ht="14.25">
      <c r="A72" s="7" t="s">
        <v>164</v>
      </c>
      <c r="B72" s="7" t="s">
        <v>164</v>
      </c>
      <c r="C72" s="7" t="s">
        <v>173</v>
      </c>
      <c r="D72" s="7" t="s">
        <v>174</v>
      </c>
      <c r="E72" s="8" t="s">
        <v>18</v>
      </c>
      <c r="F72" s="21" t="s">
        <v>177</v>
      </c>
      <c r="G72" s="8">
        <v>4</v>
      </c>
      <c r="H72" s="7" t="s">
        <v>43</v>
      </c>
      <c r="I72" s="7" t="s">
        <v>44</v>
      </c>
      <c r="J72" s="22"/>
      <c r="K72" s="22"/>
      <c r="L72" s="28" t="s">
        <v>178</v>
      </c>
      <c r="M72" s="28" t="s">
        <v>179</v>
      </c>
      <c r="N72" s="28" t="s">
        <v>180</v>
      </c>
      <c r="O72" s="28" t="s">
        <v>181</v>
      </c>
      <c r="P72" s="28" t="s">
        <v>182</v>
      </c>
      <c r="Q72" s="28" t="s">
        <v>183</v>
      </c>
    </row>
    <row r="73" spans="1:17" ht="14.25">
      <c r="A73" s="13" t="s">
        <v>164</v>
      </c>
      <c r="B73" s="13" t="s">
        <v>164</v>
      </c>
      <c r="C73" s="13" t="s">
        <v>184</v>
      </c>
      <c r="D73" s="13" t="s">
        <v>185</v>
      </c>
      <c r="E73" s="14" t="s">
        <v>18</v>
      </c>
      <c r="F73" s="29" t="s">
        <v>186</v>
      </c>
      <c r="G73" s="14">
        <v>5</v>
      </c>
      <c r="H73" s="13" t="s">
        <v>51</v>
      </c>
      <c r="I73" s="13" t="s">
        <v>48</v>
      </c>
      <c r="J73" s="14">
        <v>2215476.9500000002</v>
      </c>
      <c r="K73" s="14">
        <v>2104703.1</v>
      </c>
      <c r="L73" s="14">
        <v>2168359.21</v>
      </c>
      <c r="M73" s="14">
        <v>2059941.25</v>
      </c>
      <c r="N73" s="14">
        <v>2070191.71</v>
      </c>
      <c r="O73" s="14">
        <v>1966682.12</v>
      </c>
      <c r="P73" s="14">
        <v>1940614.6</v>
      </c>
      <c r="Q73" s="14">
        <v>1843583.87</v>
      </c>
    </row>
    <row r="74" spans="1:17" ht="14.25">
      <c r="A74" s="13" t="s">
        <v>164</v>
      </c>
      <c r="B74" s="13" t="s">
        <v>164</v>
      </c>
      <c r="C74" s="13" t="s">
        <v>184</v>
      </c>
      <c r="D74" s="13" t="s">
        <v>185</v>
      </c>
      <c r="E74" s="14" t="s">
        <v>18</v>
      </c>
      <c r="F74" s="13" t="s">
        <v>187</v>
      </c>
      <c r="G74" s="14">
        <v>5</v>
      </c>
      <c r="H74" s="13" t="s">
        <v>51</v>
      </c>
      <c r="I74" s="13" t="s">
        <v>48</v>
      </c>
      <c r="J74" s="14" t="s">
        <v>108</v>
      </c>
      <c r="K74" s="14" t="s">
        <v>108</v>
      </c>
      <c r="L74" s="30">
        <v>291.66666666666669</v>
      </c>
      <c r="M74" s="30">
        <v>277.08333333333331</v>
      </c>
      <c r="N74" s="30">
        <v>266.66666666666669</v>
      </c>
      <c r="O74" s="30">
        <v>253.33333333333334</v>
      </c>
      <c r="P74" s="30">
        <v>240.66666666666666</v>
      </c>
      <c r="Q74" s="30">
        <v>225</v>
      </c>
    </row>
    <row r="75" spans="1:17" ht="14.25">
      <c r="A75" s="13" t="s">
        <v>164</v>
      </c>
      <c r="B75" s="13" t="s">
        <v>164</v>
      </c>
      <c r="C75" s="13" t="s">
        <v>184</v>
      </c>
      <c r="D75" s="13" t="s">
        <v>185</v>
      </c>
      <c r="E75" s="14" t="s">
        <v>18</v>
      </c>
      <c r="F75" s="13" t="s">
        <v>188</v>
      </c>
      <c r="G75" s="14">
        <v>5</v>
      </c>
      <c r="H75" s="13" t="s">
        <v>51</v>
      </c>
      <c r="I75" s="13" t="s">
        <v>48</v>
      </c>
      <c r="J75" s="16">
        <v>0.04</v>
      </c>
      <c r="K75" s="16">
        <v>0.03</v>
      </c>
      <c r="L75" s="16">
        <v>0.04</v>
      </c>
      <c r="M75" s="16">
        <v>0.03</v>
      </c>
      <c r="N75" s="16">
        <v>0.04</v>
      </c>
      <c r="O75" s="16">
        <v>0.03</v>
      </c>
      <c r="P75" s="16">
        <v>0.04</v>
      </c>
      <c r="Q75" s="16">
        <v>0.03</v>
      </c>
    </row>
    <row r="76" spans="1:17" ht="14.25">
      <c r="A76" s="13" t="s">
        <v>164</v>
      </c>
      <c r="B76" s="13" t="s">
        <v>189</v>
      </c>
      <c r="C76" s="13" t="s">
        <v>190</v>
      </c>
      <c r="D76" s="13" t="s">
        <v>191</v>
      </c>
      <c r="E76" s="14" t="s">
        <v>18</v>
      </c>
      <c r="F76" s="13" t="s">
        <v>192</v>
      </c>
      <c r="G76" s="14">
        <v>4</v>
      </c>
      <c r="H76" s="13" t="s">
        <v>43</v>
      </c>
      <c r="I76" s="13" t="s">
        <v>44</v>
      </c>
      <c r="J76" s="16">
        <v>2.5000000000000001E-2</v>
      </c>
      <c r="K76" s="16">
        <v>0.02</v>
      </c>
      <c r="L76" s="16">
        <v>2.5000000000000001E-2</v>
      </c>
      <c r="M76" s="16">
        <v>0.02</v>
      </c>
      <c r="N76" s="16">
        <v>2.5000000000000001E-2</v>
      </c>
      <c r="O76" s="16">
        <v>0.02</v>
      </c>
      <c r="P76" s="16">
        <v>2.5000000000000001E-2</v>
      </c>
      <c r="Q76" s="16">
        <v>0.02</v>
      </c>
    </row>
    <row r="77" spans="1:17" ht="14.25">
      <c r="A77" s="13" t="s">
        <v>164</v>
      </c>
      <c r="B77" s="13" t="s">
        <v>189</v>
      </c>
      <c r="C77" s="13" t="s">
        <v>190</v>
      </c>
      <c r="D77" s="13" t="s">
        <v>191</v>
      </c>
      <c r="E77" s="14" t="s">
        <v>18</v>
      </c>
      <c r="F77" s="13" t="s">
        <v>193</v>
      </c>
      <c r="G77" s="14">
        <v>4</v>
      </c>
      <c r="H77" s="13" t="s">
        <v>43</v>
      </c>
      <c r="I77" s="13" t="s">
        <v>44</v>
      </c>
      <c r="J77" s="14" t="s">
        <v>194</v>
      </c>
      <c r="K77" s="14" t="s">
        <v>195</v>
      </c>
      <c r="L77" s="14" t="s">
        <v>194</v>
      </c>
      <c r="M77" s="14" t="s">
        <v>195</v>
      </c>
      <c r="N77" s="14" t="s">
        <v>194</v>
      </c>
      <c r="O77" s="14" t="s">
        <v>195</v>
      </c>
      <c r="P77" s="14" t="s">
        <v>194</v>
      </c>
      <c r="Q77" s="14" t="s">
        <v>195</v>
      </c>
    </row>
    <row r="78" spans="1:17" ht="14.25">
      <c r="A78" s="13" t="s">
        <v>164</v>
      </c>
      <c r="B78" s="13" t="s">
        <v>189</v>
      </c>
      <c r="C78" s="13" t="s">
        <v>190</v>
      </c>
      <c r="D78" s="13" t="s">
        <v>191</v>
      </c>
      <c r="E78" s="14" t="s">
        <v>18</v>
      </c>
      <c r="F78" s="13" t="s">
        <v>187</v>
      </c>
      <c r="G78" s="14">
        <v>4</v>
      </c>
      <c r="H78" s="13" t="s">
        <v>43</v>
      </c>
      <c r="I78" s="13" t="s">
        <v>44</v>
      </c>
      <c r="J78" s="14" t="s">
        <v>108</v>
      </c>
      <c r="K78" s="14" t="s">
        <v>108</v>
      </c>
      <c r="L78" s="30">
        <v>291.66666666666669</v>
      </c>
      <c r="M78" s="30">
        <v>277.08333333333331</v>
      </c>
      <c r="N78" s="30">
        <v>266.66666666666669</v>
      </c>
      <c r="O78" s="30">
        <v>253.33333333333334</v>
      </c>
      <c r="P78" s="30">
        <v>240.66666666666666</v>
      </c>
      <c r="Q78" s="30">
        <v>225</v>
      </c>
    </row>
    <row r="79" spans="1:17" ht="14.25">
      <c r="A79" s="13" t="s">
        <v>164</v>
      </c>
      <c r="B79" s="13" t="s">
        <v>189</v>
      </c>
      <c r="C79" s="13" t="s">
        <v>196</v>
      </c>
      <c r="D79" s="13" t="s">
        <v>197</v>
      </c>
      <c r="E79" s="14" t="s">
        <v>18</v>
      </c>
      <c r="F79" s="13" t="s">
        <v>198</v>
      </c>
      <c r="G79" s="14">
        <v>1</v>
      </c>
      <c r="H79" s="13" t="s">
        <v>199</v>
      </c>
      <c r="I79" s="13" t="s">
        <v>200</v>
      </c>
      <c r="J79" s="17">
        <v>0.85</v>
      </c>
      <c r="K79" s="17">
        <v>0.9</v>
      </c>
      <c r="L79" s="17">
        <v>0.85</v>
      </c>
      <c r="M79" s="17">
        <v>0.9</v>
      </c>
      <c r="N79" s="17">
        <v>0.85</v>
      </c>
      <c r="O79" s="17">
        <v>0.9</v>
      </c>
      <c r="P79" s="17">
        <v>0.85</v>
      </c>
      <c r="Q79" s="17">
        <v>0.9</v>
      </c>
    </row>
    <row r="80" spans="1:17" ht="14.25">
      <c r="A80" s="13" t="s">
        <v>164</v>
      </c>
      <c r="B80" s="13" t="s">
        <v>189</v>
      </c>
      <c r="C80" s="13" t="s">
        <v>196</v>
      </c>
      <c r="D80" s="13" t="s">
        <v>197</v>
      </c>
      <c r="E80" s="14" t="s">
        <v>18</v>
      </c>
      <c r="F80" s="13" t="s">
        <v>201</v>
      </c>
      <c r="G80" s="14">
        <v>1</v>
      </c>
      <c r="H80" s="13" t="s">
        <v>199</v>
      </c>
      <c r="I80" s="13" t="s">
        <v>200</v>
      </c>
      <c r="J80" s="14" t="s">
        <v>194</v>
      </c>
      <c r="K80" s="14" t="s">
        <v>195</v>
      </c>
      <c r="L80" s="14" t="s">
        <v>194</v>
      </c>
      <c r="M80" s="14" t="s">
        <v>195</v>
      </c>
      <c r="N80" s="14" t="s">
        <v>194</v>
      </c>
      <c r="O80" s="14" t="s">
        <v>195</v>
      </c>
      <c r="P80" s="14" t="s">
        <v>194</v>
      </c>
      <c r="Q80" s="14" t="s">
        <v>195</v>
      </c>
    </row>
    <row r="81" spans="1:17" ht="14.25">
      <c r="A81" s="13" t="s">
        <v>164</v>
      </c>
      <c r="B81" s="13" t="s">
        <v>189</v>
      </c>
      <c r="C81" s="13" t="s">
        <v>202</v>
      </c>
      <c r="D81" s="13" t="s">
        <v>203</v>
      </c>
      <c r="E81" s="14" t="s">
        <v>18</v>
      </c>
      <c r="F81" s="13" t="s">
        <v>204</v>
      </c>
      <c r="G81" s="14">
        <v>2</v>
      </c>
      <c r="H81" s="18">
        <v>200</v>
      </c>
      <c r="I81" s="18">
        <v>400</v>
      </c>
      <c r="J81" s="17">
        <v>0.95</v>
      </c>
      <c r="K81" s="17">
        <v>1</v>
      </c>
      <c r="L81" s="17">
        <v>0.95</v>
      </c>
      <c r="M81" s="17">
        <v>1</v>
      </c>
      <c r="N81" s="17">
        <v>0.95</v>
      </c>
      <c r="O81" s="17">
        <v>1</v>
      </c>
      <c r="P81" s="17">
        <v>0.95</v>
      </c>
      <c r="Q81" s="17">
        <v>1</v>
      </c>
    </row>
    <row r="82" spans="1:17" ht="14.25">
      <c r="A82" s="13" t="s">
        <v>164</v>
      </c>
      <c r="B82" s="13" t="s">
        <v>189</v>
      </c>
      <c r="C82" s="13" t="s">
        <v>202</v>
      </c>
      <c r="D82" s="13" t="s">
        <v>203</v>
      </c>
      <c r="E82" s="14" t="s">
        <v>18</v>
      </c>
      <c r="F82" s="13" t="s">
        <v>205</v>
      </c>
      <c r="G82" s="14">
        <v>2</v>
      </c>
      <c r="H82" s="18">
        <v>200</v>
      </c>
      <c r="I82" s="18">
        <v>400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</row>
    <row r="83" spans="1:17" ht="15">
      <c r="A83" s="24" t="s">
        <v>206</v>
      </c>
      <c r="B83" s="13" t="s">
        <v>206</v>
      </c>
      <c r="C83" s="13" t="s">
        <v>207</v>
      </c>
      <c r="D83" s="13" t="s">
        <v>208</v>
      </c>
      <c r="E83" s="14" t="s">
        <v>18</v>
      </c>
      <c r="F83" s="13" t="s">
        <v>209</v>
      </c>
      <c r="G83" s="14">
        <v>6</v>
      </c>
      <c r="H83" s="18">
        <v>1000</v>
      </c>
      <c r="I83" s="18">
        <v>2000</v>
      </c>
      <c r="J83" s="17">
        <v>0.5</v>
      </c>
      <c r="K83" s="17">
        <v>0.55000000000000004</v>
      </c>
      <c r="L83" s="17">
        <v>0.5</v>
      </c>
      <c r="M83" s="17">
        <v>0.55000000000000004</v>
      </c>
      <c r="N83" s="17">
        <v>0.5</v>
      </c>
      <c r="O83" s="17">
        <v>0.55000000000000004</v>
      </c>
      <c r="P83" s="17">
        <v>0.5</v>
      </c>
      <c r="Q83" s="17">
        <v>0.55000000000000004</v>
      </c>
    </row>
    <row r="84" spans="1:17" ht="15">
      <c r="A84" s="24" t="s">
        <v>206</v>
      </c>
      <c r="B84" s="13" t="s">
        <v>206</v>
      </c>
      <c r="C84" s="13" t="s">
        <v>207</v>
      </c>
      <c r="D84" s="13" t="s">
        <v>208</v>
      </c>
      <c r="E84" s="14" t="s">
        <v>18</v>
      </c>
      <c r="F84" s="13" t="s">
        <v>210</v>
      </c>
      <c r="G84" s="14">
        <v>6</v>
      </c>
      <c r="H84" s="18">
        <v>1000</v>
      </c>
      <c r="I84" s="18">
        <v>2000</v>
      </c>
      <c r="J84" s="17">
        <v>0.85</v>
      </c>
      <c r="K84" s="17">
        <v>0.9</v>
      </c>
      <c r="L84" s="17">
        <v>0.85</v>
      </c>
      <c r="M84" s="17">
        <v>0.9</v>
      </c>
      <c r="N84" s="17">
        <v>0.85</v>
      </c>
      <c r="O84" s="17">
        <v>0.9</v>
      </c>
      <c r="P84" s="17">
        <v>0.85</v>
      </c>
      <c r="Q84" s="17">
        <v>0.9</v>
      </c>
    </row>
    <row r="85" spans="1:17" ht="15">
      <c r="A85" s="24" t="s">
        <v>206</v>
      </c>
      <c r="B85" s="13" t="s">
        <v>206</v>
      </c>
      <c r="C85" s="13" t="s">
        <v>207</v>
      </c>
      <c r="D85" s="13" t="s">
        <v>208</v>
      </c>
      <c r="E85" s="14" t="s">
        <v>18</v>
      </c>
      <c r="F85" s="13" t="s">
        <v>211</v>
      </c>
      <c r="G85" s="14">
        <v>6</v>
      </c>
      <c r="H85" s="18">
        <v>2500</v>
      </c>
      <c r="I85" s="18">
        <v>5000</v>
      </c>
      <c r="J85" s="19">
        <v>6680809.4800000004</v>
      </c>
      <c r="K85" s="19">
        <v>7014849.9500000002</v>
      </c>
      <c r="L85" s="19">
        <v>2563694.9700000002</v>
      </c>
      <c r="M85" s="19">
        <v>2691879.72</v>
      </c>
      <c r="N85" s="19">
        <v>2992994.58</v>
      </c>
      <c r="O85" s="19">
        <v>3142644.31</v>
      </c>
      <c r="P85" s="19">
        <v>2305653.79</v>
      </c>
      <c r="Q85" s="19">
        <v>2420936.48</v>
      </c>
    </row>
    <row r="86" spans="1:17" ht="15">
      <c r="A86" s="24" t="s">
        <v>206</v>
      </c>
      <c r="B86" s="13" t="s">
        <v>206</v>
      </c>
      <c r="C86" s="13" t="s">
        <v>207</v>
      </c>
      <c r="D86" s="13" t="s">
        <v>208</v>
      </c>
      <c r="E86" s="14" t="s">
        <v>18</v>
      </c>
      <c r="F86" s="13" t="s">
        <v>212</v>
      </c>
      <c r="G86" s="14">
        <v>6</v>
      </c>
      <c r="H86" s="18">
        <v>1500</v>
      </c>
      <c r="I86" s="18">
        <v>3000</v>
      </c>
      <c r="J86" s="19">
        <v>354880.52</v>
      </c>
      <c r="K86" s="19">
        <v>337136.49</v>
      </c>
      <c r="L86" s="19">
        <v>336240.24</v>
      </c>
      <c r="M86" s="19">
        <v>319428.23</v>
      </c>
      <c r="N86" s="19">
        <v>343132.84</v>
      </c>
      <c r="O86" s="19">
        <v>325976.2</v>
      </c>
      <c r="P86" s="19">
        <v>301549.78000000003</v>
      </c>
      <c r="Q86" s="19">
        <v>286472.28999999998</v>
      </c>
    </row>
    <row r="87" spans="1:17" ht="15">
      <c r="A87" s="24" t="s">
        <v>206</v>
      </c>
      <c r="B87" s="13" t="s">
        <v>206</v>
      </c>
      <c r="C87" s="13" t="s">
        <v>207</v>
      </c>
      <c r="D87" s="13" t="s">
        <v>208</v>
      </c>
      <c r="E87" s="14" t="s">
        <v>18</v>
      </c>
      <c r="F87" s="13" t="s">
        <v>161</v>
      </c>
      <c r="G87" s="14">
        <v>6</v>
      </c>
      <c r="H87" s="18">
        <v>1000</v>
      </c>
      <c r="I87" s="18">
        <v>2000</v>
      </c>
      <c r="J87" s="17">
        <v>0.75</v>
      </c>
      <c r="K87" s="17">
        <v>0.8</v>
      </c>
      <c r="L87" s="17">
        <v>0.75</v>
      </c>
      <c r="M87" s="17">
        <v>0.8</v>
      </c>
      <c r="N87" s="17">
        <v>0.75</v>
      </c>
      <c r="O87" s="17">
        <v>0.8</v>
      </c>
      <c r="P87" s="17">
        <v>0.75</v>
      </c>
      <c r="Q87" s="17">
        <v>0.8</v>
      </c>
    </row>
    <row r="88" spans="1:17" ht="14.25">
      <c r="A88" s="13" t="s">
        <v>213</v>
      </c>
      <c r="B88" s="13" t="s">
        <v>214</v>
      </c>
      <c r="C88" s="13" t="s">
        <v>215</v>
      </c>
      <c r="D88" s="13" t="s">
        <v>216</v>
      </c>
      <c r="E88" s="14" t="s">
        <v>18</v>
      </c>
      <c r="F88" s="13" t="s">
        <v>217</v>
      </c>
      <c r="G88" s="14">
        <v>3</v>
      </c>
      <c r="H88" s="18">
        <v>400</v>
      </c>
      <c r="I88" s="18">
        <v>800</v>
      </c>
      <c r="J88" s="17">
        <v>0.85</v>
      </c>
      <c r="K88" s="17">
        <v>0.9</v>
      </c>
      <c r="L88" s="17">
        <v>0.85</v>
      </c>
      <c r="M88" s="17">
        <v>0.9</v>
      </c>
      <c r="N88" s="17">
        <v>0.85</v>
      </c>
      <c r="O88" s="17">
        <v>0.9</v>
      </c>
      <c r="P88" s="17">
        <v>0.85</v>
      </c>
      <c r="Q88" s="17">
        <v>0.9</v>
      </c>
    </row>
    <row r="89" spans="1:17" ht="14.25">
      <c r="A89" s="13" t="s">
        <v>213</v>
      </c>
      <c r="B89" s="13" t="s">
        <v>214</v>
      </c>
      <c r="C89" s="13" t="s">
        <v>215</v>
      </c>
      <c r="D89" s="13" t="s">
        <v>216</v>
      </c>
      <c r="E89" s="14" t="s">
        <v>18</v>
      </c>
      <c r="F89" s="13" t="s">
        <v>218</v>
      </c>
      <c r="G89" s="14">
        <v>3</v>
      </c>
      <c r="H89" s="18">
        <v>400</v>
      </c>
      <c r="I89" s="18">
        <v>800</v>
      </c>
      <c r="J89" s="31" t="s">
        <v>108</v>
      </c>
      <c r="K89" s="31" t="s">
        <v>108</v>
      </c>
      <c r="L89" s="17">
        <v>0.95</v>
      </c>
      <c r="M89" s="17">
        <v>1</v>
      </c>
      <c r="N89" s="17">
        <v>0.95</v>
      </c>
      <c r="O89" s="17">
        <v>1</v>
      </c>
      <c r="P89" s="17">
        <v>0.95</v>
      </c>
      <c r="Q89" s="17">
        <v>1</v>
      </c>
    </row>
    <row r="90" spans="1:17" ht="14.25">
      <c r="A90" s="13" t="s">
        <v>213</v>
      </c>
      <c r="B90" s="13" t="s">
        <v>214</v>
      </c>
      <c r="C90" s="13" t="s">
        <v>219</v>
      </c>
      <c r="D90" s="13" t="s">
        <v>220</v>
      </c>
      <c r="E90" s="14" t="s">
        <v>18</v>
      </c>
      <c r="F90" s="13" t="s">
        <v>221</v>
      </c>
      <c r="G90" s="14">
        <v>4</v>
      </c>
      <c r="H90" s="13" t="s">
        <v>88</v>
      </c>
      <c r="I90" s="13" t="s">
        <v>89</v>
      </c>
      <c r="J90" s="17">
        <v>0.83</v>
      </c>
      <c r="K90" s="17">
        <v>0.85</v>
      </c>
      <c r="L90" s="17">
        <v>0.83</v>
      </c>
      <c r="M90" s="17">
        <v>0.85</v>
      </c>
      <c r="N90" s="17">
        <v>0.83</v>
      </c>
      <c r="O90" s="17">
        <v>0.85</v>
      </c>
      <c r="P90" s="17">
        <v>0.83</v>
      </c>
      <c r="Q90" s="17">
        <v>0.85</v>
      </c>
    </row>
    <row r="91" spans="1:17" ht="14.25">
      <c r="A91" s="13" t="s">
        <v>213</v>
      </c>
      <c r="B91" s="13" t="s">
        <v>214</v>
      </c>
      <c r="C91" s="13" t="s">
        <v>219</v>
      </c>
      <c r="D91" s="13" t="s">
        <v>220</v>
      </c>
      <c r="E91" s="14" t="s">
        <v>18</v>
      </c>
      <c r="F91" s="13" t="s">
        <v>222</v>
      </c>
      <c r="G91" s="14">
        <v>4</v>
      </c>
      <c r="H91" s="13" t="s">
        <v>88</v>
      </c>
      <c r="I91" s="13" t="s">
        <v>89</v>
      </c>
      <c r="J91" s="16">
        <v>0.04</v>
      </c>
      <c r="K91" s="16">
        <v>3.5000000000000003E-2</v>
      </c>
      <c r="L91" s="16">
        <v>0.04</v>
      </c>
      <c r="M91" s="16">
        <v>3.5000000000000003E-2</v>
      </c>
      <c r="N91" s="16">
        <v>0.04</v>
      </c>
      <c r="O91" s="16">
        <v>3.5000000000000003E-2</v>
      </c>
      <c r="P91" s="16">
        <v>0.04</v>
      </c>
      <c r="Q91" s="16">
        <v>3.5000000000000003E-2</v>
      </c>
    </row>
    <row r="92" spans="1:17" ht="14.25">
      <c r="A92" s="13" t="s">
        <v>213</v>
      </c>
      <c r="B92" s="13" t="s">
        <v>214</v>
      </c>
      <c r="C92" s="13" t="s">
        <v>219</v>
      </c>
      <c r="D92" s="13" t="s">
        <v>220</v>
      </c>
      <c r="E92" s="14" t="s">
        <v>18</v>
      </c>
      <c r="F92" s="13" t="s">
        <v>223</v>
      </c>
      <c r="G92" s="14">
        <v>4</v>
      </c>
      <c r="H92" s="13" t="s">
        <v>88</v>
      </c>
      <c r="I92" s="13" t="s">
        <v>89</v>
      </c>
      <c r="J92" s="14" t="s">
        <v>108</v>
      </c>
      <c r="K92" s="14" t="s">
        <v>108</v>
      </c>
      <c r="L92" s="14" t="s">
        <v>224</v>
      </c>
      <c r="M92" s="14" t="s">
        <v>225</v>
      </c>
      <c r="N92" s="14" t="s">
        <v>226</v>
      </c>
      <c r="O92" s="14" t="s">
        <v>227</v>
      </c>
      <c r="P92" s="14" t="s">
        <v>228</v>
      </c>
      <c r="Q92" s="14" t="s">
        <v>229</v>
      </c>
    </row>
    <row r="93" spans="1:17" ht="14.25">
      <c r="A93" s="13" t="s">
        <v>213</v>
      </c>
      <c r="B93" s="13" t="s">
        <v>214</v>
      </c>
      <c r="C93" s="13" t="s">
        <v>230</v>
      </c>
      <c r="D93" s="13" t="s">
        <v>231</v>
      </c>
      <c r="E93" s="14" t="s">
        <v>18</v>
      </c>
      <c r="F93" s="13" t="s">
        <v>232</v>
      </c>
      <c r="G93" s="14">
        <v>2</v>
      </c>
      <c r="H93" s="13" t="s">
        <v>199</v>
      </c>
      <c r="I93" s="13" t="s">
        <v>200</v>
      </c>
      <c r="J93" s="17">
        <v>0.85</v>
      </c>
      <c r="K93" s="17">
        <v>0.9</v>
      </c>
      <c r="L93" s="17">
        <v>0.85</v>
      </c>
      <c r="M93" s="17">
        <v>0.9</v>
      </c>
      <c r="N93" s="17">
        <v>0.85</v>
      </c>
      <c r="O93" s="17">
        <v>0.9</v>
      </c>
      <c r="P93" s="17">
        <v>0.85</v>
      </c>
      <c r="Q93" s="17">
        <v>0.9</v>
      </c>
    </row>
    <row r="94" spans="1:17" ht="14.25">
      <c r="A94" s="13" t="s">
        <v>213</v>
      </c>
      <c r="B94" s="13" t="s">
        <v>214</v>
      </c>
      <c r="C94" s="13" t="s">
        <v>230</v>
      </c>
      <c r="D94" s="13" t="s">
        <v>231</v>
      </c>
      <c r="E94" s="14" t="s">
        <v>18</v>
      </c>
      <c r="F94" s="13" t="s">
        <v>233</v>
      </c>
      <c r="G94" s="14">
        <v>2</v>
      </c>
      <c r="H94" s="13" t="s">
        <v>200</v>
      </c>
      <c r="I94" s="13" t="s">
        <v>88</v>
      </c>
      <c r="J94" s="19">
        <v>347783.97</v>
      </c>
      <c r="K94" s="19">
        <v>330394.77</v>
      </c>
      <c r="L94" s="19">
        <v>333308.19</v>
      </c>
      <c r="M94" s="19">
        <v>316642.78000000003</v>
      </c>
      <c r="N94" s="19">
        <v>323145.09000000003</v>
      </c>
      <c r="O94" s="19">
        <v>306987.84000000003</v>
      </c>
      <c r="P94" s="19">
        <v>286641.08</v>
      </c>
      <c r="Q94" s="19">
        <v>272309.03000000003</v>
      </c>
    </row>
    <row r="95" spans="1:17" ht="14.25">
      <c r="A95" s="13" t="s">
        <v>213</v>
      </c>
      <c r="B95" s="13" t="s">
        <v>214</v>
      </c>
      <c r="C95" s="13" t="s">
        <v>230</v>
      </c>
      <c r="D95" s="13" t="s">
        <v>231</v>
      </c>
      <c r="E95" s="14" t="s">
        <v>18</v>
      </c>
      <c r="F95" s="13" t="s">
        <v>221</v>
      </c>
      <c r="G95" s="14">
        <v>2</v>
      </c>
      <c r="H95" s="13" t="s">
        <v>199</v>
      </c>
      <c r="I95" s="13" t="s">
        <v>200</v>
      </c>
      <c r="J95" s="17">
        <v>0.83</v>
      </c>
      <c r="K95" s="17">
        <v>0.85</v>
      </c>
      <c r="L95" s="17">
        <v>0.83</v>
      </c>
      <c r="M95" s="17">
        <v>0.85</v>
      </c>
      <c r="N95" s="17">
        <v>0.83</v>
      </c>
      <c r="O95" s="17">
        <v>0.85</v>
      </c>
      <c r="P95" s="17">
        <v>0.83</v>
      </c>
      <c r="Q95" s="17">
        <v>0.85</v>
      </c>
    </row>
    <row r="96" spans="1:17" ht="14.25">
      <c r="A96" s="13" t="s">
        <v>213</v>
      </c>
      <c r="B96" s="13" t="s">
        <v>234</v>
      </c>
      <c r="C96" s="13" t="s">
        <v>235</v>
      </c>
      <c r="D96" s="13" t="s">
        <v>236</v>
      </c>
      <c r="E96" s="14" t="s">
        <v>18</v>
      </c>
      <c r="F96" s="13" t="s">
        <v>237</v>
      </c>
      <c r="G96" s="14">
        <v>1</v>
      </c>
      <c r="H96" s="13" t="s">
        <v>32</v>
      </c>
      <c r="I96" s="13" t="s">
        <v>33</v>
      </c>
      <c r="J96" s="16">
        <v>0.01</v>
      </c>
      <c r="K96" s="16">
        <v>9.4999999999999998E-3</v>
      </c>
      <c r="L96" s="16">
        <v>0.01</v>
      </c>
      <c r="M96" s="16">
        <v>9.4999999999999998E-3</v>
      </c>
      <c r="N96" s="16">
        <v>0.01</v>
      </c>
      <c r="O96" s="16">
        <v>9.4999999999999998E-3</v>
      </c>
      <c r="P96" s="16">
        <v>0.01</v>
      </c>
      <c r="Q96" s="16">
        <v>9.4999999999999998E-3</v>
      </c>
    </row>
    <row r="97" spans="1:17" ht="14.25">
      <c r="A97" s="13" t="s">
        <v>213</v>
      </c>
      <c r="B97" s="13" t="s">
        <v>234</v>
      </c>
      <c r="C97" s="13" t="s">
        <v>235</v>
      </c>
      <c r="D97" s="13" t="s">
        <v>236</v>
      </c>
      <c r="E97" s="14" t="s">
        <v>18</v>
      </c>
      <c r="F97" s="13" t="s">
        <v>238</v>
      </c>
      <c r="G97" s="14">
        <v>1</v>
      </c>
      <c r="H97" s="13" t="s">
        <v>239</v>
      </c>
      <c r="I97" s="13" t="s">
        <v>32</v>
      </c>
      <c r="J97" s="17">
        <v>0.95</v>
      </c>
      <c r="K97" s="16">
        <v>0.96499999999999997</v>
      </c>
      <c r="L97" s="17">
        <v>0.95</v>
      </c>
      <c r="M97" s="16">
        <v>0.96499999999999997</v>
      </c>
      <c r="N97" s="17">
        <v>0.95</v>
      </c>
      <c r="O97" s="16">
        <v>0.96499999999999997</v>
      </c>
      <c r="P97" s="17">
        <v>0.95</v>
      </c>
      <c r="Q97" s="16">
        <v>0.96499999999999997</v>
      </c>
    </row>
    <row r="98" spans="1:17" ht="14.25">
      <c r="A98" s="13" t="s">
        <v>213</v>
      </c>
      <c r="B98" s="13" t="s">
        <v>234</v>
      </c>
      <c r="C98" s="13" t="s">
        <v>235</v>
      </c>
      <c r="D98" s="13" t="s">
        <v>236</v>
      </c>
      <c r="E98" s="14" t="s">
        <v>18</v>
      </c>
      <c r="F98" s="13" t="s">
        <v>240</v>
      </c>
      <c r="G98" s="14">
        <v>1</v>
      </c>
      <c r="H98" s="13" t="s">
        <v>239</v>
      </c>
      <c r="I98" s="13" t="s">
        <v>32</v>
      </c>
      <c r="J98" s="14">
        <v>2.9820000000000002</v>
      </c>
      <c r="K98" s="14">
        <v>2.8330000000000002</v>
      </c>
      <c r="L98" s="14">
        <v>3.306</v>
      </c>
      <c r="M98" s="14">
        <v>3.141</v>
      </c>
      <c r="N98" s="14">
        <v>3.2429999999999999</v>
      </c>
      <c r="O98" s="14">
        <v>3.081</v>
      </c>
      <c r="P98" s="14">
        <v>3.54</v>
      </c>
      <c r="Q98" s="14">
        <v>3.363</v>
      </c>
    </row>
    <row r="99" spans="1:17" ht="14.25">
      <c r="A99" s="13" t="s">
        <v>213</v>
      </c>
      <c r="B99" s="13" t="s">
        <v>234</v>
      </c>
      <c r="C99" s="13" t="s">
        <v>241</v>
      </c>
      <c r="D99" s="13" t="s">
        <v>236</v>
      </c>
      <c r="E99" s="14" t="s">
        <v>18</v>
      </c>
      <c r="F99" s="13" t="s">
        <v>237</v>
      </c>
      <c r="G99" s="14">
        <v>1</v>
      </c>
      <c r="H99" s="13" t="s">
        <v>32</v>
      </c>
      <c r="I99" s="13" t="s">
        <v>33</v>
      </c>
      <c r="J99" s="16">
        <v>0.01</v>
      </c>
      <c r="K99" s="16">
        <v>9.4999999999999998E-3</v>
      </c>
      <c r="L99" s="16">
        <v>0.01</v>
      </c>
      <c r="M99" s="16">
        <v>9.4999999999999998E-3</v>
      </c>
      <c r="N99" s="16">
        <v>0.01</v>
      </c>
      <c r="O99" s="16">
        <v>9.4999999999999998E-3</v>
      </c>
      <c r="P99" s="16">
        <v>0.01</v>
      </c>
      <c r="Q99" s="16">
        <v>9.4999999999999998E-3</v>
      </c>
    </row>
    <row r="100" spans="1:17" ht="14.25">
      <c r="A100" s="13" t="s">
        <v>213</v>
      </c>
      <c r="B100" s="13" t="s">
        <v>234</v>
      </c>
      <c r="C100" s="13" t="s">
        <v>241</v>
      </c>
      <c r="D100" s="13" t="s">
        <v>236</v>
      </c>
      <c r="E100" s="14" t="s">
        <v>18</v>
      </c>
      <c r="F100" s="13" t="s">
        <v>238</v>
      </c>
      <c r="G100" s="14">
        <v>1</v>
      </c>
      <c r="H100" s="13" t="s">
        <v>239</v>
      </c>
      <c r="I100" s="13" t="s">
        <v>32</v>
      </c>
      <c r="J100" s="17">
        <v>0.95</v>
      </c>
      <c r="K100" s="16">
        <v>0.96499999999999997</v>
      </c>
      <c r="L100" s="17">
        <v>0.95</v>
      </c>
      <c r="M100" s="16">
        <v>0.96499999999999997</v>
      </c>
      <c r="N100" s="17">
        <v>0.95</v>
      </c>
      <c r="O100" s="16">
        <v>0.96499999999999997</v>
      </c>
      <c r="P100" s="17">
        <v>0.95</v>
      </c>
      <c r="Q100" s="16">
        <v>0.96499999999999997</v>
      </c>
    </row>
    <row r="101" spans="1:17" ht="14.25">
      <c r="A101" s="13" t="s">
        <v>213</v>
      </c>
      <c r="B101" s="13" t="s">
        <v>234</v>
      </c>
      <c r="C101" s="13" t="s">
        <v>241</v>
      </c>
      <c r="D101" s="13" t="s">
        <v>236</v>
      </c>
      <c r="E101" s="14" t="s">
        <v>18</v>
      </c>
      <c r="F101" s="13" t="s">
        <v>240</v>
      </c>
      <c r="G101" s="14">
        <v>1</v>
      </c>
      <c r="H101" s="13" t="s">
        <v>239</v>
      </c>
      <c r="I101" s="13" t="s">
        <v>32</v>
      </c>
      <c r="J101" s="14">
        <v>2.9820000000000002</v>
      </c>
      <c r="K101" s="14">
        <v>2.8330000000000002</v>
      </c>
      <c r="L101" s="14">
        <v>3.306</v>
      </c>
      <c r="M101" s="14">
        <v>3.141</v>
      </c>
      <c r="N101" s="14">
        <v>3.2429999999999999</v>
      </c>
      <c r="O101" s="14">
        <v>3.081</v>
      </c>
      <c r="P101" s="14">
        <v>3.54</v>
      </c>
      <c r="Q101" s="14">
        <v>3.363</v>
      </c>
    </row>
    <row r="102" spans="1:17" ht="14.25">
      <c r="A102" s="13" t="s">
        <v>213</v>
      </c>
      <c r="B102" s="13" t="s">
        <v>234</v>
      </c>
      <c r="C102" s="13" t="s">
        <v>242</v>
      </c>
      <c r="D102" s="13" t="s">
        <v>243</v>
      </c>
      <c r="E102" s="14" t="s">
        <v>18</v>
      </c>
      <c r="F102" s="13" t="s">
        <v>237</v>
      </c>
      <c r="G102" s="32">
        <v>2</v>
      </c>
      <c r="H102" s="13" t="s">
        <v>32</v>
      </c>
      <c r="I102" s="33" t="s">
        <v>33</v>
      </c>
      <c r="J102" s="16">
        <v>0.01</v>
      </c>
      <c r="K102" s="16">
        <v>9.4999999999999998E-3</v>
      </c>
      <c r="L102" s="16">
        <v>0.01</v>
      </c>
      <c r="M102" s="16">
        <v>9.4999999999999998E-3</v>
      </c>
      <c r="N102" s="16">
        <v>0.01</v>
      </c>
      <c r="O102" s="16">
        <v>9.4999999999999998E-3</v>
      </c>
      <c r="P102" s="16">
        <v>0.01</v>
      </c>
      <c r="Q102" s="16">
        <v>9.4999999999999998E-3</v>
      </c>
    </row>
    <row r="103" spans="1:17" ht="14.25">
      <c r="A103" s="13" t="s">
        <v>213</v>
      </c>
      <c r="B103" s="13" t="s">
        <v>234</v>
      </c>
      <c r="C103" s="13" t="s">
        <v>242</v>
      </c>
      <c r="D103" s="13" t="s">
        <v>243</v>
      </c>
      <c r="E103" s="14" t="s">
        <v>18</v>
      </c>
      <c r="F103" s="13" t="s">
        <v>238</v>
      </c>
      <c r="G103" s="32">
        <v>2</v>
      </c>
      <c r="H103" s="13" t="s">
        <v>32</v>
      </c>
      <c r="I103" s="33" t="s">
        <v>33</v>
      </c>
      <c r="J103" s="17">
        <v>0.95</v>
      </c>
      <c r="K103" s="16">
        <v>0.96499999999999997</v>
      </c>
      <c r="L103" s="17">
        <v>0.95</v>
      </c>
      <c r="M103" s="16">
        <v>0.96499999999999997</v>
      </c>
      <c r="N103" s="17">
        <v>0.95</v>
      </c>
      <c r="O103" s="16">
        <v>0.96499999999999997</v>
      </c>
      <c r="P103" s="17">
        <v>0.95</v>
      </c>
      <c r="Q103" s="16">
        <v>0.96499999999999997</v>
      </c>
    </row>
    <row r="104" spans="1:17" ht="15">
      <c r="A104" s="13" t="s">
        <v>213</v>
      </c>
      <c r="B104" s="13" t="s">
        <v>234</v>
      </c>
      <c r="C104" s="13" t="s">
        <v>242</v>
      </c>
      <c r="D104" s="13" t="s">
        <v>243</v>
      </c>
      <c r="E104" s="14" t="s">
        <v>18</v>
      </c>
      <c r="F104" s="13" t="s">
        <v>244</v>
      </c>
      <c r="G104" s="32">
        <v>2</v>
      </c>
      <c r="H104" s="13" t="s">
        <v>33</v>
      </c>
      <c r="I104" s="33" t="s">
        <v>43</v>
      </c>
      <c r="J104" s="34">
        <v>121.91</v>
      </c>
      <c r="K104" s="34">
        <v>115.81</v>
      </c>
      <c r="L104" s="34">
        <v>113.38</v>
      </c>
      <c r="M104" s="34">
        <v>107.71</v>
      </c>
      <c r="N104" s="35">
        <v>113.38</v>
      </c>
      <c r="O104" s="34">
        <v>107.71</v>
      </c>
      <c r="P104" s="14">
        <v>100.83</v>
      </c>
      <c r="Q104" s="34">
        <v>95.79</v>
      </c>
    </row>
    <row r="105" spans="1:17" ht="14.25">
      <c r="A105" s="13" t="s">
        <v>213</v>
      </c>
      <c r="B105" s="13" t="s">
        <v>234</v>
      </c>
      <c r="C105" s="13" t="s">
        <v>245</v>
      </c>
      <c r="D105" s="13" t="s">
        <v>246</v>
      </c>
      <c r="E105" s="14" t="s">
        <v>18</v>
      </c>
      <c r="F105" s="13" t="s">
        <v>237</v>
      </c>
      <c r="G105" s="32">
        <v>1</v>
      </c>
      <c r="H105" s="13" t="s">
        <v>32</v>
      </c>
      <c r="I105" s="13" t="s">
        <v>33</v>
      </c>
      <c r="J105" s="16">
        <v>0.01</v>
      </c>
      <c r="K105" s="16">
        <v>9.4999999999999998E-3</v>
      </c>
      <c r="L105" s="16">
        <v>0.01</v>
      </c>
      <c r="M105" s="16">
        <v>9.4999999999999998E-3</v>
      </c>
      <c r="N105" s="16">
        <v>0.01</v>
      </c>
      <c r="O105" s="16">
        <v>9.4999999999999998E-3</v>
      </c>
      <c r="P105" s="16">
        <v>0.01</v>
      </c>
      <c r="Q105" s="16">
        <v>9.4999999999999998E-3</v>
      </c>
    </row>
    <row r="106" spans="1:17" ht="15">
      <c r="A106" s="13" t="s">
        <v>213</v>
      </c>
      <c r="B106" s="13" t="s">
        <v>234</v>
      </c>
      <c r="C106" s="13" t="s">
        <v>245</v>
      </c>
      <c r="D106" s="13" t="s">
        <v>246</v>
      </c>
      <c r="E106" s="14" t="s">
        <v>18</v>
      </c>
      <c r="F106" s="13" t="s">
        <v>244</v>
      </c>
      <c r="G106" s="32">
        <v>1</v>
      </c>
      <c r="H106" s="13" t="s">
        <v>239</v>
      </c>
      <c r="I106" s="13" t="s">
        <v>32</v>
      </c>
      <c r="J106" s="34">
        <v>121.91</v>
      </c>
      <c r="K106" s="34">
        <v>115.81</v>
      </c>
      <c r="L106" s="34">
        <v>113.38</v>
      </c>
      <c r="M106" s="34">
        <v>107.71</v>
      </c>
      <c r="N106" s="35">
        <v>113.38</v>
      </c>
      <c r="O106" s="34">
        <v>107.71</v>
      </c>
      <c r="P106" s="14">
        <v>100.83</v>
      </c>
      <c r="Q106" s="34">
        <v>95.79</v>
      </c>
    </row>
    <row r="107" spans="1:17" ht="14.25">
      <c r="A107" s="13" t="s">
        <v>213</v>
      </c>
      <c r="B107" s="13" t="s">
        <v>234</v>
      </c>
      <c r="C107" s="13" t="s">
        <v>245</v>
      </c>
      <c r="D107" s="13" t="s">
        <v>246</v>
      </c>
      <c r="E107" s="14" t="s">
        <v>18</v>
      </c>
      <c r="F107" s="13" t="s">
        <v>240</v>
      </c>
      <c r="G107" s="32">
        <v>1</v>
      </c>
      <c r="H107" s="13" t="s">
        <v>239</v>
      </c>
      <c r="I107" s="13" t="s">
        <v>32</v>
      </c>
      <c r="J107" s="14">
        <v>2.9820000000000002</v>
      </c>
      <c r="K107" s="14">
        <v>2.8330000000000002</v>
      </c>
      <c r="L107" s="14">
        <v>3.306</v>
      </c>
      <c r="M107" s="14">
        <v>3.141</v>
      </c>
      <c r="N107" s="14">
        <v>3.2429999999999999</v>
      </c>
      <c r="O107" s="14">
        <v>3.081</v>
      </c>
      <c r="P107" s="14">
        <v>3.54</v>
      </c>
      <c r="Q107" s="14">
        <v>3.363</v>
      </c>
    </row>
    <row r="108" spans="1:17" ht="14.25">
      <c r="A108" s="13" t="s">
        <v>213</v>
      </c>
      <c r="B108" s="13" t="s">
        <v>234</v>
      </c>
      <c r="C108" s="13" t="s">
        <v>247</v>
      </c>
      <c r="D108" s="13" t="s">
        <v>248</v>
      </c>
      <c r="E108" s="14" t="s">
        <v>18</v>
      </c>
      <c r="F108" s="13" t="s">
        <v>237</v>
      </c>
      <c r="G108" s="14">
        <v>1</v>
      </c>
      <c r="H108" s="13" t="s">
        <v>32</v>
      </c>
      <c r="I108" s="13" t="s">
        <v>33</v>
      </c>
      <c r="J108" s="16">
        <v>0.01</v>
      </c>
      <c r="K108" s="16">
        <v>9.4999999999999998E-3</v>
      </c>
      <c r="L108" s="16">
        <v>0.01</v>
      </c>
      <c r="M108" s="16">
        <v>9.4999999999999998E-3</v>
      </c>
      <c r="N108" s="16">
        <v>0.01</v>
      </c>
      <c r="O108" s="16">
        <v>9.4999999999999998E-3</v>
      </c>
      <c r="P108" s="16">
        <v>0.01</v>
      </c>
      <c r="Q108" s="16">
        <v>9.4999999999999998E-3</v>
      </c>
    </row>
    <row r="109" spans="1:17" ht="14.25">
      <c r="A109" s="13" t="s">
        <v>213</v>
      </c>
      <c r="B109" s="13" t="s">
        <v>234</v>
      </c>
      <c r="C109" s="13" t="s">
        <v>247</v>
      </c>
      <c r="D109" s="13" t="s">
        <v>248</v>
      </c>
      <c r="E109" s="14" t="s">
        <v>18</v>
      </c>
      <c r="F109" s="13" t="s">
        <v>238</v>
      </c>
      <c r="G109" s="14">
        <v>1</v>
      </c>
      <c r="H109" s="13" t="s">
        <v>239</v>
      </c>
      <c r="I109" s="13" t="s">
        <v>32</v>
      </c>
      <c r="J109" s="17">
        <v>0.95</v>
      </c>
      <c r="K109" s="16">
        <v>0.96499999999999997</v>
      </c>
      <c r="L109" s="17">
        <v>0.95</v>
      </c>
      <c r="M109" s="16">
        <v>0.96499999999999997</v>
      </c>
      <c r="N109" s="17">
        <v>0.95</v>
      </c>
      <c r="O109" s="16">
        <v>0.96499999999999997</v>
      </c>
      <c r="P109" s="17">
        <v>0.95</v>
      </c>
      <c r="Q109" s="16">
        <v>0.96499999999999997</v>
      </c>
    </row>
    <row r="110" spans="1:17" ht="14.25">
      <c r="A110" s="13" t="s">
        <v>213</v>
      </c>
      <c r="B110" s="13" t="s">
        <v>234</v>
      </c>
      <c r="C110" s="13" t="s">
        <v>247</v>
      </c>
      <c r="D110" s="13" t="s">
        <v>248</v>
      </c>
      <c r="E110" s="14" t="s">
        <v>18</v>
      </c>
      <c r="F110" s="13" t="s">
        <v>240</v>
      </c>
      <c r="G110" s="14">
        <v>1</v>
      </c>
      <c r="H110" s="13" t="s">
        <v>239</v>
      </c>
      <c r="I110" s="13" t="s">
        <v>32</v>
      </c>
      <c r="J110" s="14">
        <v>2.9820000000000002</v>
      </c>
      <c r="K110" s="14">
        <v>2.8330000000000002</v>
      </c>
      <c r="L110" s="14">
        <v>3.306</v>
      </c>
      <c r="M110" s="14">
        <v>3.141</v>
      </c>
      <c r="N110" s="14">
        <v>3.2429999999999999</v>
      </c>
      <c r="O110" s="14">
        <v>3.081</v>
      </c>
      <c r="P110" s="14">
        <v>3.54</v>
      </c>
      <c r="Q110" s="14">
        <v>3.363</v>
      </c>
    </row>
    <row r="111" spans="1:17" ht="14.25">
      <c r="A111" s="13" t="s">
        <v>213</v>
      </c>
      <c r="B111" s="13" t="s">
        <v>234</v>
      </c>
      <c r="C111" s="13" t="s">
        <v>249</v>
      </c>
      <c r="D111" s="13" t="s">
        <v>250</v>
      </c>
      <c r="E111" s="14" t="s">
        <v>18</v>
      </c>
      <c r="F111" s="13" t="s">
        <v>237</v>
      </c>
      <c r="G111" s="14">
        <v>5</v>
      </c>
      <c r="H111" s="13" t="s">
        <v>73</v>
      </c>
      <c r="I111" s="13" t="s">
        <v>74</v>
      </c>
      <c r="J111" s="16">
        <v>0.01</v>
      </c>
      <c r="K111" s="16">
        <v>9.4999999999999998E-3</v>
      </c>
      <c r="L111" s="16">
        <v>0.01</v>
      </c>
      <c r="M111" s="16">
        <v>9.4999999999999998E-3</v>
      </c>
      <c r="N111" s="16">
        <v>0.01</v>
      </c>
      <c r="O111" s="16">
        <v>9.4999999999999998E-3</v>
      </c>
      <c r="P111" s="16">
        <v>0.01</v>
      </c>
      <c r="Q111" s="16">
        <v>9.4999999999999998E-3</v>
      </c>
    </row>
    <row r="112" spans="1:17" ht="14.25">
      <c r="A112" s="13" t="s">
        <v>213</v>
      </c>
      <c r="B112" s="13" t="s">
        <v>234</v>
      </c>
      <c r="C112" s="13" t="s">
        <v>249</v>
      </c>
      <c r="D112" s="13" t="s">
        <v>250</v>
      </c>
      <c r="E112" s="14" t="s">
        <v>18</v>
      </c>
      <c r="F112" s="13" t="s">
        <v>251</v>
      </c>
      <c r="G112" s="14">
        <v>5</v>
      </c>
      <c r="H112" s="13" t="s">
        <v>252</v>
      </c>
      <c r="I112" s="13" t="s">
        <v>73</v>
      </c>
      <c r="J112" s="14" t="s">
        <v>108</v>
      </c>
      <c r="K112" s="14" t="s">
        <v>108</v>
      </c>
      <c r="L112" s="30">
        <v>101.04166666666667</v>
      </c>
      <c r="M112" s="30">
        <v>97.5</v>
      </c>
      <c r="N112" s="30">
        <v>88.833333333333329</v>
      </c>
      <c r="O112" s="30">
        <v>82.875</v>
      </c>
      <c r="P112" s="14" t="s">
        <v>253</v>
      </c>
      <c r="Q112" s="30">
        <v>70.416666666666671</v>
      </c>
    </row>
    <row r="113" spans="1:17" ht="14.25">
      <c r="A113" s="13" t="s">
        <v>213</v>
      </c>
      <c r="B113" s="13" t="s">
        <v>234</v>
      </c>
      <c r="C113" s="13" t="s">
        <v>249</v>
      </c>
      <c r="D113" s="13" t="s">
        <v>250</v>
      </c>
      <c r="E113" s="14" t="s">
        <v>18</v>
      </c>
      <c r="F113" s="13" t="s">
        <v>244</v>
      </c>
      <c r="G113" s="14">
        <v>5</v>
      </c>
      <c r="H113" s="13" t="s">
        <v>51</v>
      </c>
      <c r="I113" s="13" t="s">
        <v>48</v>
      </c>
      <c r="J113" s="14">
        <v>121.91</v>
      </c>
      <c r="K113" s="14">
        <v>115.81</v>
      </c>
      <c r="L113" s="14">
        <v>113.38</v>
      </c>
      <c r="M113" s="14">
        <v>107.71</v>
      </c>
      <c r="N113" s="14">
        <v>113.38</v>
      </c>
      <c r="O113" s="14">
        <v>107.71</v>
      </c>
      <c r="P113" s="14">
        <v>100.83</v>
      </c>
      <c r="Q113" s="14">
        <v>95.79</v>
      </c>
    </row>
    <row r="114" spans="1:17" ht="14.25">
      <c r="A114" s="13" t="s">
        <v>213</v>
      </c>
      <c r="B114" s="13" t="s">
        <v>234</v>
      </c>
      <c r="C114" s="13" t="s">
        <v>249</v>
      </c>
      <c r="D114" s="13" t="s">
        <v>250</v>
      </c>
      <c r="E114" s="14" t="s">
        <v>18</v>
      </c>
      <c r="F114" s="13" t="s">
        <v>254</v>
      </c>
      <c r="G114" s="14">
        <v>5</v>
      </c>
      <c r="H114" s="13" t="s">
        <v>73</v>
      </c>
      <c r="I114" s="13" t="s">
        <v>74</v>
      </c>
      <c r="J114" s="36">
        <v>598727.44999999995</v>
      </c>
      <c r="K114" s="36">
        <v>568791.07999999996</v>
      </c>
      <c r="L114" s="36">
        <v>627032.93999999994</v>
      </c>
      <c r="M114" s="36">
        <v>595681.29</v>
      </c>
      <c r="N114" s="19">
        <v>570449.51</v>
      </c>
      <c r="O114" s="36">
        <v>541927.03</v>
      </c>
      <c r="P114" s="19">
        <v>523195.68</v>
      </c>
      <c r="Q114" s="36">
        <v>497035.9</v>
      </c>
    </row>
    <row r="115" spans="1:17" ht="14.25">
      <c r="A115" s="13" t="s">
        <v>213</v>
      </c>
      <c r="B115" s="13" t="s">
        <v>234</v>
      </c>
      <c r="C115" s="13" t="s">
        <v>249</v>
      </c>
      <c r="D115" s="13" t="s">
        <v>250</v>
      </c>
      <c r="E115" s="14" t="s">
        <v>18</v>
      </c>
      <c r="F115" s="13" t="s">
        <v>255</v>
      </c>
      <c r="G115" s="14">
        <v>5</v>
      </c>
      <c r="H115" s="13" t="s">
        <v>252</v>
      </c>
      <c r="I115" s="13" t="s">
        <v>73</v>
      </c>
      <c r="J115" s="16">
        <v>0.04</v>
      </c>
      <c r="K115" s="16">
        <v>3.5000000000000003E-2</v>
      </c>
      <c r="L115" s="16">
        <v>0.04</v>
      </c>
      <c r="M115" s="16">
        <v>3.5000000000000003E-2</v>
      </c>
      <c r="N115" s="16">
        <v>0.04</v>
      </c>
      <c r="O115" s="16">
        <v>3.5000000000000003E-2</v>
      </c>
      <c r="P115" s="16">
        <v>0.04</v>
      </c>
      <c r="Q115" s="16">
        <v>3.5000000000000003E-2</v>
      </c>
    </row>
    <row r="116" spans="1:17" ht="14.25">
      <c r="A116" s="13" t="s">
        <v>213</v>
      </c>
      <c r="B116" s="13" t="s">
        <v>234</v>
      </c>
      <c r="C116" s="13" t="s">
        <v>256</v>
      </c>
      <c r="D116" s="13" t="s">
        <v>248</v>
      </c>
      <c r="E116" s="14" t="s">
        <v>18</v>
      </c>
      <c r="F116" s="13" t="s">
        <v>237</v>
      </c>
      <c r="G116" s="14">
        <v>2</v>
      </c>
      <c r="H116" s="13" t="s">
        <v>33</v>
      </c>
      <c r="I116" s="13" t="s">
        <v>43</v>
      </c>
      <c r="J116" s="16">
        <v>0.01</v>
      </c>
      <c r="K116" s="16">
        <v>9.4999999999999998E-3</v>
      </c>
      <c r="L116" s="16">
        <v>0.01</v>
      </c>
      <c r="M116" s="16">
        <v>9.4999999999999998E-3</v>
      </c>
      <c r="N116" s="16">
        <v>0.01</v>
      </c>
      <c r="O116" s="16">
        <v>9.4999999999999998E-3</v>
      </c>
      <c r="P116" s="16">
        <v>0.01</v>
      </c>
      <c r="Q116" s="16">
        <v>9.4999999999999998E-3</v>
      </c>
    </row>
    <row r="117" spans="1:17" ht="14.25">
      <c r="A117" s="13" t="s">
        <v>213</v>
      </c>
      <c r="B117" s="13" t="s">
        <v>234</v>
      </c>
      <c r="C117" s="13" t="s">
        <v>256</v>
      </c>
      <c r="D117" s="13" t="s">
        <v>248</v>
      </c>
      <c r="E117" s="14" t="s">
        <v>18</v>
      </c>
      <c r="F117" s="13" t="s">
        <v>238</v>
      </c>
      <c r="G117" s="14">
        <v>2</v>
      </c>
      <c r="H117" s="13" t="s">
        <v>32</v>
      </c>
      <c r="I117" s="13" t="s">
        <v>33</v>
      </c>
      <c r="J117" s="17">
        <v>0.95</v>
      </c>
      <c r="K117" s="16">
        <v>0.96499999999999997</v>
      </c>
      <c r="L117" s="17">
        <v>0.95</v>
      </c>
      <c r="M117" s="16">
        <v>0.96499999999999997</v>
      </c>
      <c r="N117" s="17">
        <v>0.95</v>
      </c>
      <c r="O117" s="16">
        <v>0.96499999999999997</v>
      </c>
      <c r="P117" s="17">
        <v>0.95</v>
      </c>
      <c r="Q117" s="16">
        <v>0.96499999999999997</v>
      </c>
    </row>
    <row r="118" spans="1:17" ht="14.25">
      <c r="A118" s="13" t="s">
        <v>213</v>
      </c>
      <c r="B118" s="13" t="s">
        <v>234</v>
      </c>
      <c r="C118" s="13" t="s">
        <v>256</v>
      </c>
      <c r="D118" s="13" t="s">
        <v>248</v>
      </c>
      <c r="E118" s="14" t="s">
        <v>18</v>
      </c>
      <c r="F118" s="13" t="s">
        <v>240</v>
      </c>
      <c r="G118" s="14">
        <v>2</v>
      </c>
      <c r="H118" s="13" t="s">
        <v>32</v>
      </c>
      <c r="I118" s="13" t="s">
        <v>33</v>
      </c>
      <c r="J118" s="14">
        <v>2.9820000000000002</v>
      </c>
      <c r="K118" s="14">
        <v>2.8330000000000002</v>
      </c>
      <c r="L118" s="14">
        <v>3.306</v>
      </c>
      <c r="M118" s="14">
        <v>3.141</v>
      </c>
      <c r="N118" s="14">
        <v>3.2429999999999999</v>
      </c>
      <c r="O118" s="14">
        <v>3.081</v>
      </c>
      <c r="P118" s="14">
        <v>3.54</v>
      </c>
      <c r="Q118" s="14">
        <v>3.363</v>
      </c>
    </row>
    <row r="119" spans="1:17" ht="14.25">
      <c r="A119" s="13" t="s">
        <v>213</v>
      </c>
      <c r="B119" s="13" t="s">
        <v>257</v>
      </c>
      <c r="C119" s="13" t="s">
        <v>258</v>
      </c>
      <c r="D119" s="13" t="s">
        <v>259</v>
      </c>
      <c r="E119" s="14" t="s">
        <v>18</v>
      </c>
      <c r="F119" s="13" t="s">
        <v>260</v>
      </c>
      <c r="G119" s="14">
        <v>3</v>
      </c>
      <c r="H119" s="13" t="s">
        <v>43</v>
      </c>
      <c r="I119" s="13" t="s">
        <v>44</v>
      </c>
      <c r="J119" s="17">
        <v>0.85</v>
      </c>
      <c r="K119" s="17">
        <v>0.9</v>
      </c>
      <c r="L119" s="17">
        <v>0.85</v>
      </c>
      <c r="M119" s="17">
        <v>0.9</v>
      </c>
      <c r="N119" s="17">
        <v>0.85</v>
      </c>
      <c r="O119" s="17">
        <v>0.9</v>
      </c>
      <c r="P119" s="17">
        <v>0.85</v>
      </c>
      <c r="Q119" s="17">
        <v>0.9</v>
      </c>
    </row>
    <row r="120" spans="1:17" ht="14.25">
      <c r="A120" s="13" t="s">
        <v>213</v>
      </c>
      <c r="B120" s="13" t="s">
        <v>257</v>
      </c>
      <c r="C120" s="13" t="s">
        <v>258</v>
      </c>
      <c r="D120" s="13" t="s">
        <v>259</v>
      </c>
      <c r="E120" s="14" t="s">
        <v>18</v>
      </c>
      <c r="F120" s="13" t="s">
        <v>261</v>
      </c>
      <c r="G120" s="14">
        <v>3</v>
      </c>
      <c r="H120" s="13" t="s">
        <v>43</v>
      </c>
      <c r="I120" s="13" t="s">
        <v>44</v>
      </c>
      <c r="J120" s="14" t="s">
        <v>108</v>
      </c>
      <c r="K120" s="14" t="s">
        <v>108</v>
      </c>
      <c r="L120" s="14" t="s">
        <v>262</v>
      </c>
      <c r="M120" s="14" t="s">
        <v>263</v>
      </c>
      <c r="N120" s="14" t="s">
        <v>264</v>
      </c>
      <c r="O120" s="14" t="s">
        <v>265</v>
      </c>
      <c r="P120" s="14" t="s">
        <v>266</v>
      </c>
      <c r="Q120" s="14" t="s">
        <v>267</v>
      </c>
    </row>
    <row r="121" spans="1:17" ht="14.25">
      <c r="A121" s="13" t="s">
        <v>213</v>
      </c>
      <c r="B121" s="13" t="s">
        <v>257</v>
      </c>
      <c r="C121" s="13" t="s">
        <v>268</v>
      </c>
      <c r="D121" s="13" t="s">
        <v>269</v>
      </c>
      <c r="E121" s="14" t="s">
        <v>18</v>
      </c>
      <c r="F121" s="13" t="s">
        <v>237</v>
      </c>
      <c r="G121" s="14">
        <v>2</v>
      </c>
      <c r="H121" s="13" t="s">
        <v>200</v>
      </c>
      <c r="I121" s="13" t="s">
        <v>88</v>
      </c>
      <c r="J121" s="16">
        <v>0.01</v>
      </c>
      <c r="K121" s="16">
        <v>9.4999999999999998E-3</v>
      </c>
      <c r="L121" s="16">
        <v>0.01</v>
      </c>
      <c r="M121" s="16">
        <v>9.4999999999999998E-3</v>
      </c>
      <c r="N121" s="16">
        <v>0.01</v>
      </c>
      <c r="O121" s="16">
        <v>9.4999999999999998E-3</v>
      </c>
      <c r="P121" s="16">
        <v>0.01</v>
      </c>
      <c r="Q121" s="16">
        <v>9.4999999999999998E-3</v>
      </c>
    </row>
    <row r="122" spans="1:17" ht="14.25">
      <c r="A122" s="13" t="s">
        <v>213</v>
      </c>
      <c r="B122" s="13" t="s">
        <v>257</v>
      </c>
      <c r="C122" s="13" t="s">
        <v>268</v>
      </c>
      <c r="D122" s="13" t="s">
        <v>269</v>
      </c>
      <c r="E122" s="14" t="s">
        <v>18</v>
      </c>
      <c r="F122" s="13" t="s">
        <v>270</v>
      </c>
      <c r="G122" s="14">
        <v>2</v>
      </c>
      <c r="H122" s="13" t="s">
        <v>271</v>
      </c>
      <c r="I122" s="13" t="s">
        <v>199</v>
      </c>
      <c r="J122" s="14" t="s">
        <v>108</v>
      </c>
      <c r="K122" s="14" t="s">
        <v>108</v>
      </c>
      <c r="L122" s="30">
        <v>74.625</v>
      </c>
      <c r="M122" s="30">
        <v>72.083333333333329</v>
      </c>
      <c r="N122" s="30">
        <v>65.666666666666671</v>
      </c>
      <c r="O122" s="30">
        <v>61.291666666666664</v>
      </c>
      <c r="P122" s="30">
        <v>57.791666666666664</v>
      </c>
      <c r="Q122" s="30">
        <v>52.083333333333336</v>
      </c>
    </row>
    <row r="123" spans="1:17" ht="14.25">
      <c r="A123" s="13" t="s">
        <v>213</v>
      </c>
      <c r="B123" s="13" t="s">
        <v>257</v>
      </c>
      <c r="C123" s="13" t="s">
        <v>268</v>
      </c>
      <c r="D123" s="13" t="s">
        <v>269</v>
      </c>
      <c r="E123" s="14" t="s">
        <v>18</v>
      </c>
      <c r="F123" s="13" t="s">
        <v>272</v>
      </c>
      <c r="G123" s="14">
        <v>2</v>
      </c>
      <c r="H123" s="13" t="s">
        <v>273</v>
      </c>
      <c r="I123" s="13" t="s">
        <v>36</v>
      </c>
      <c r="J123" s="19">
        <v>2626865.16</v>
      </c>
      <c r="K123" s="19">
        <v>2495521.9</v>
      </c>
      <c r="L123" s="19">
        <v>2323640.0099999998</v>
      </c>
      <c r="M123" s="19">
        <v>2207458.0099999998</v>
      </c>
      <c r="N123" s="19">
        <v>2320920.42</v>
      </c>
      <c r="O123" s="19">
        <v>2204874.4</v>
      </c>
      <c r="P123" s="19">
        <v>1992656.2</v>
      </c>
      <c r="Q123" s="19">
        <v>1893023.39</v>
      </c>
    </row>
    <row r="124" spans="1:17" ht="14.25">
      <c r="A124" s="13" t="s">
        <v>213</v>
      </c>
      <c r="B124" s="13" t="s">
        <v>257</v>
      </c>
      <c r="C124" s="13" t="s">
        <v>274</v>
      </c>
      <c r="D124" s="13" t="s">
        <v>275</v>
      </c>
      <c r="E124" s="14" t="s">
        <v>18</v>
      </c>
      <c r="F124" s="13" t="s">
        <v>237</v>
      </c>
      <c r="G124" s="14">
        <v>4</v>
      </c>
      <c r="H124" s="13" t="s">
        <v>43</v>
      </c>
      <c r="I124" s="13" t="s">
        <v>44</v>
      </c>
      <c r="J124" s="16">
        <v>0.01</v>
      </c>
      <c r="K124" s="16">
        <v>9.4999999999999998E-3</v>
      </c>
      <c r="L124" s="16">
        <v>0.01</v>
      </c>
      <c r="M124" s="16">
        <v>9.4999999999999998E-3</v>
      </c>
      <c r="N124" s="16">
        <v>0.01</v>
      </c>
      <c r="O124" s="16">
        <v>9.4999999999999998E-3</v>
      </c>
      <c r="P124" s="16">
        <v>0.01</v>
      </c>
      <c r="Q124" s="16">
        <v>9.4999999999999998E-3</v>
      </c>
    </row>
    <row r="125" spans="1:17" ht="14.25">
      <c r="A125" s="13" t="s">
        <v>213</v>
      </c>
      <c r="B125" s="13" t="s">
        <v>257</v>
      </c>
      <c r="C125" s="13" t="s">
        <v>274</v>
      </c>
      <c r="D125" s="13" t="s">
        <v>275</v>
      </c>
      <c r="E125" s="14" t="s">
        <v>18</v>
      </c>
      <c r="F125" s="13" t="s">
        <v>270</v>
      </c>
      <c r="G125" s="14">
        <v>4</v>
      </c>
      <c r="H125" s="13" t="s">
        <v>32</v>
      </c>
      <c r="I125" s="13" t="s">
        <v>33</v>
      </c>
      <c r="J125" s="14" t="s">
        <v>108</v>
      </c>
      <c r="K125" s="14" t="s">
        <v>108</v>
      </c>
      <c r="L125" s="30">
        <v>74.625</v>
      </c>
      <c r="M125" s="30">
        <v>72.083333333333329</v>
      </c>
      <c r="N125" s="30">
        <v>65.666666666666671</v>
      </c>
      <c r="O125" s="30">
        <v>61.291666666666664</v>
      </c>
      <c r="P125" s="30">
        <v>57.791666666666664</v>
      </c>
      <c r="Q125" s="30">
        <v>52.083333333333336</v>
      </c>
    </row>
    <row r="126" spans="1:17" ht="14.25">
      <c r="A126" s="13" t="s">
        <v>213</v>
      </c>
      <c r="B126" s="13" t="s">
        <v>257</v>
      </c>
      <c r="C126" s="13" t="s">
        <v>274</v>
      </c>
      <c r="D126" s="13" t="s">
        <v>275</v>
      </c>
      <c r="E126" s="14" t="s">
        <v>18</v>
      </c>
      <c r="F126" s="13" t="s">
        <v>276</v>
      </c>
      <c r="G126" s="14">
        <v>4</v>
      </c>
      <c r="H126" s="13" t="s">
        <v>43</v>
      </c>
      <c r="I126" s="13" t="s">
        <v>44</v>
      </c>
      <c r="J126" s="19">
        <v>2626865.16</v>
      </c>
      <c r="K126" s="19">
        <v>2495521.9</v>
      </c>
      <c r="L126" s="19">
        <v>2323640.0099999998</v>
      </c>
      <c r="M126" s="19">
        <v>2207458.0099999998</v>
      </c>
      <c r="N126" s="19">
        <v>2320920.42</v>
      </c>
      <c r="O126" s="19">
        <v>2204874.4</v>
      </c>
      <c r="P126" s="19">
        <v>1992656.2</v>
      </c>
      <c r="Q126" s="19">
        <v>1893023.39</v>
      </c>
    </row>
    <row r="127" spans="1:17" ht="14.25">
      <c r="A127" s="13" t="s">
        <v>213</v>
      </c>
      <c r="B127" s="13" t="s">
        <v>257</v>
      </c>
      <c r="C127" s="13" t="s">
        <v>274</v>
      </c>
      <c r="D127" s="13" t="s">
        <v>275</v>
      </c>
      <c r="E127" s="14" t="s">
        <v>18</v>
      </c>
      <c r="F127" s="13" t="s">
        <v>277</v>
      </c>
      <c r="G127" s="14">
        <v>4</v>
      </c>
      <c r="H127" s="13" t="s">
        <v>36</v>
      </c>
      <c r="I127" s="13" t="s">
        <v>37</v>
      </c>
      <c r="J127" s="16">
        <v>0.04</v>
      </c>
      <c r="K127" s="16">
        <v>3.5000000000000003E-2</v>
      </c>
      <c r="L127" s="16">
        <v>0.04</v>
      </c>
      <c r="M127" s="16">
        <v>3.5000000000000003E-2</v>
      </c>
      <c r="N127" s="16">
        <v>0.04</v>
      </c>
      <c r="O127" s="16">
        <v>3.5000000000000003E-2</v>
      </c>
      <c r="P127" s="16">
        <v>0.04</v>
      </c>
      <c r="Q127" s="16">
        <v>3.5000000000000003E-2</v>
      </c>
    </row>
    <row r="128" spans="1:17" ht="14.25">
      <c r="A128" s="13" t="s">
        <v>213</v>
      </c>
      <c r="B128" s="13" t="s">
        <v>257</v>
      </c>
      <c r="C128" s="13" t="s">
        <v>278</v>
      </c>
      <c r="D128" s="13" t="s">
        <v>269</v>
      </c>
      <c r="E128" s="14" t="s">
        <v>18</v>
      </c>
      <c r="F128" s="13" t="s">
        <v>237</v>
      </c>
      <c r="G128" s="14">
        <v>2</v>
      </c>
      <c r="H128" s="13" t="s">
        <v>273</v>
      </c>
      <c r="I128" s="13" t="s">
        <v>36</v>
      </c>
      <c r="J128" s="16">
        <v>0.01</v>
      </c>
      <c r="K128" s="16">
        <v>9.4999999999999998E-3</v>
      </c>
      <c r="L128" s="16">
        <v>0.01</v>
      </c>
      <c r="M128" s="16">
        <v>9.4999999999999998E-3</v>
      </c>
      <c r="N128" s="16">
        <v>0.01</v>
      </c>
      <c r="O128" s="16">
        <v>9.4999999999999998E-3</v>
      </c>
      <c r="P128" s="16">
        <v>0.01</v>
      </c>
      <c r="Q128" s="16">
        <v>9.4999999999999998E-3</v>
      </c>
    </row>
    <row r="129" spans="1:17" ht="14.25">
      <c r="A129" s="13" t="s">
        <v>213</v>
      </c>
      <c r="B129" s="13" t="s">
        <v>257</v>
      </c>
      <c r="C129" s="13" t="s">
        <v>278</v>
      </c>
      <c r="D129" s="13" t="s">
        <v>269</v>
      </c>
      <c r="E129" s="14" t="s">
        <v>18</v>
      </c>
      <c r="F129" s="13" t="s">
        <v>270</v>
      </c>
      <c r="G129" s="14">
        <v>2</v>
      </c>
      <c r="H129" s="13" t="s">
        <v>239</v>
      </c>
      <c r="I129" s="13" t="s">
        <v>32</v>
      </c>
      <c r="J129" s="14" t="s">
        <v>108</v>
      </c>
      <c r="K129" s="14" t="s">
        <v>108</v>
      </c>
      <c r="L129" s="30">
        <v>74.625</v>
      </c>
      <c r="M129" s="30">
        <v>72.083333333333329</v>
      </c>
      <c r="N129" s="30">
        <v>65.666666666666671</v>
      </c>
      <c r="O129" s="30">
        <v>61.291666666666664</v>
      </c>
      <c r="P129" s="30">
        <v>57.791666666666664</v>
      </c>
      <c r="Q129" s="30">
        <v>52.083333333333336</v>
      </c>
    </row>
    <row r="130" spans="1:17" ht="14.25">
      <c r="A130" s="13" t="s">
        <v>213</v>
      </c>
      <c r="B130" s="13" t="s">
        <v>257</v>
      </c>
      <c r="C130" s="13" t="s">
        <v>278</v>
      </c>
      <c r="D130" s="13" t="s">
        <v>269</v>
      </c>
      <c r="E130" s="14" t="s">
        <v>18</v>
      </c>
      <c r="F130" s="13" t="s">
        <v>272</v>
      </c>
      <c r="G130" s="14">
        <v>2</v>
      </c>
      <c r="H130" s="13" t="s">
        <v>33</v>
      </c>
      <c r="I130" s="13" t="s">
        <v>43</v>
      </c>
      <c r="J130" s="19">
        <v>2626865.16</v>
      </c>
      <c r="K130" s="19">
        <v>2495521.9</v>
      </c>
      <c r="L130" s="19">
        <v>2323640.0099999998</v>
      </c>
      <c r="M130" s="19">
        <v>2207458.0099999998</v>
      </c>
      <c r="N130" s="19">
        <v>2320920.42</v>
      </c>
      <c r="O130" s="19">
        <v>2204874.4</v>
      </c>
      <c r="P130" s="19">
        <v>1992656.2</v>
      </c>
      <c r="Q130" s="19">
        <v>1893023.39</v>
      </c>
    </row>
    <row r="131" spans="1:17" ht="14.25">
      <c r="A131" s="13" t="s">
        <v>213</v>
      </c>
      <c r="B131" s="13" t="s">
        <v>279</v>
      </c>
      <c r="C131" s="13" t="s">
        <v>280</v>
      </c>
      <c r="D131" s="13" t="s">
        <v>281</v>
      </c>
      <c r="E131" s="14" t="s">
        <v>18</v>
      </c>
      <c r="F131" s="13" t="s">
        <v>282</v>
      </c>
      <c r="G131" s="14">
        <v>3</v>
      </c>
      <c r="H131" s="13" t="s">
        <v>283</v>
      </c>
      <c r="I131" s="13" t="s">
        <v>73</v>
      </c>
      <c r="J131" s="14" t="s">
        <v>108</v>
      </c>
      <c r="K131" s="14" t="s">
        <v>108</v>
      </c>
      <c r="L131" s="16">
        <v>3.0000000000000001E-3</v>
      </c>
      <c r="M131" s="16">
        <v>2.5000000000000001E-3</v>
      </c>
      <c r="N131" s="16">
        <v>3.0000000000000001E-3</v>
      </c>
      <c r="O131" s="16">
        <v>2.5000000000000001E-3</v>
      </c>
      <c r="P131" s="16">
        <v>3.0000000000000001E-3</v>
      </c>
      <c r="Q131" s="16">
        <v>2.5000000000000001E-3</v>
      </c>
    </row>
    <row r="132" spans="1:17" ht="14.25">
      <c r="A132" s="13" t="s">
        <v>213</v>
      </c>
      <c r="B132" s="13" t="s">
        <v>279</v>
      </c>
      <c r="C132" s="13" t="s">
        <v>280</v>
      </c>
      <c r="D132" s="13" t="s">
        <v>281</v>
      </c>
      <c r="E132" s="14" t="s">
        <v>18</v>
      </c>
      <c r="F132" s="13" t="s">
        <v>284</v>
      </c>
      <c r="G132" s="14">
        <v>3</v>
      </c>
      <c r="H132" s="13" t="s">
        <v>32</v>
      </c>
      <c r="I132" s="13" t="s">
        <v>33</v>
      </c>
      <c r="J132" s="19">
        <v>429627.15</v>
      </c>
      <c r="K132" s="19">
        <v>408145.79</v>
      </c>
      <c r="L132" s="19">
        <v>434568.16</v>
      </c>
      <c r="M132" s="19">
        <v>412839.75</v>
      </c>
      <c r="N132" s="19">
        <v>394036.2</v>
      </c>
      <c r="O132" s="19">
        <v>374334.39</v>
      </c>
      <c r="P132" s="19">
        <v>382004.8</v>
      </c>
      <c r="Q132" s="19">
        <v>362904.56</v>
      </c>
    </row>
    <row r="133" spans="1:17" ht="14.25">
      <c r="A133" s="13" t="s">
        <v>213</v>
      </c>
      <c r="B133" s="13" t="s">
        <v>279</v>
      </c>
      <c r="C133" s="13" t="s">
        <v>280</v>
      </c>
      <c r="D133" s="13" t="s">
        <v>281</v>
      </c>
      <c r="E133" s="14" t="s">
        <v>18</v>
      </c>
      <c r="F133" s="13" t="s">
        <v>285</v>
      </c>
      <c r="G133" s="14">
        <v>3</v>
      </c>
      <c r="H133" s="13" t="s">
        <v>33</v>
      </c>
      <c r="I133" s="13" t="s">
        <v>43</v>
      </c>
      <c r="J133" s="17">
        <v>0.95</v>
      </c>
      <c r="K133" s="16">
        <v>0.96499999999999997</v>
      </c>
      <c r="L133" s="17">
        <v>0.95</v>
      </c>
      <c r="M133" s="16">
        <v>0.96499999999999997</v>
      </c>
      <c r="N133" s="17">
        <v>0.95</v>
      </c>
      <c r="O133" s="16">
        <v>0.96499999999999997</v>
      </c>
      <c r="P133" s="17">
        <v>0.95</v>
      </c>
      <c r="Q133" s="16">
        <v>0.96499999999999997</v>
      </c>
    </row>
    <row r="134" spans="1:17" ht="14.25">
      <c r="A134" s="13" t="s">
        <v>213</v>
      </c>
      <c r="B134" s="13" t="s">
        <v>279</v>
      </c>
      <c r="C134" s="13" t="s">
        <v>286</v>
      </c>
      <c r="D134" s="13" t="s">
        <v>287</v>
      </c>
      <c r="E134" s="14" t="s">
        <v>18</v>
      </c>
      <c r="F134" s="13" t="s">
        <v>282</v>
      </c>
      <c r="G134" s="14">
        <v>2</v>
      </c>
      <c r="H134" s="18">
        <v>200</v>
      </c>
      <c r="I134" s="18">
        <v>400</v>
      </c>
      <c r="J134" s="14" t="s">
        <v>108</v>
      </c>
      <c r="K134" s="14" t="s">
        <v>108</v>
      </c>
      <c r="L134" s="16">
        <v>3.0000000000000001E-3</v>
      </c>
      <c r="M134" s="16">
        <v>2.5000000000000001E-3</v>
      </c>
      <c r="N134" s="16">
        <v>3.0000000000000001E-3</v>
      </c>
      <c r="O134" s="16">
        <v>2.5000000000000001E-3</v>
      </c>
      <c r="P134" s="16">
        <v>3.0000000000000001E-3</v>
      </c>
      <c r="Q134" s="16">
        <v>2.5000000000000001E-3</v>
      </c>
    </row>
    <row r="135" spans="1:17" ht="14.25">
      <c r="A135" s="13" t="s">
        <v>213</v>
      </c>
      <c r="B135" s="13" t="s">
        <v>279</v>
      </c>
      <c r="C135" s="13" t="s">
        <v>286</v>
      </c>
      <c r="D135" s="13" t="s">
        <v>287</v>
      </c>
      <c r="E135" s="14" t="s">
        <v>18</v>
      </c>
      <c r="F135" s="13" t="s">
        <v>288</v>
      </c>
      <c r="G135" s="14">
        <v>2</v>
      </c>
      <c r="H135" s="18">
        <v>100</v>
      </c>
      <c r="I135" s="18">
        <v>200</v>
      </c>
      <c r="J135" s="14">
        <v>9.6</v>
      </c>
      <c r="K135" s="14">
        <v>9.1199999999999992</v>
      </c>
      <c r="L135" s="14">
        <v>9.1999999999999993</v>
      </c>
      <c r="M135" s="14">
        <v>8.74</v>
      </c>
      <c r="N135" s="14">
        <v>9.15</v>
      </c>
      <c r="O135" s="14">
        <v>8.69</v>
      </c>
      <c r="P135" s="14">
        <v>9.33</v>
      </c>
      <c r="Q135" s="14">
        <v>8.86</v>
      </c>
    </row>
    <row r="136" spans="1:17" ht="14.25">
      <c r="A136" s="13" t="s">
        <v>213</v>
      </c>
      <c r="B136" s="13" t="s">
        <v>279</v>
      </c>
      <c r="C136" s="13" t="s">
        <v>286</v>
      </c>
      <c r="D136" s="13" t="s">
        <v>287</v>
      </c>
      <c r="E136" s="14" t="s">
        <v>18</v>
      </c>
      <c r="F136" s="13" t="s">
        <v>289</v>
      </c>
      <c r="G136" s="14">
        <v>2</v>
      </c>
      <c r="H136" s="18">
        <v>100</v>
      </c>
      <c r="I136" s="18">
        <v>200</v>
      </c>
      <c r="J136" s="14" t="s">
        <v>108</v>
      </c>
      <c r="K136" s="14" t="s">
        <v>108</v>
      </c>
      <c r="L136" s="14" t="s">
        <v>290</v>
      </c>
      <c r="M136" s="14" t="s">
        <v>291</v>
      </c>
      <c r="N136" s="14" t="s">
        <v>292</v>
      </c>
      <c r="O136" s="14" t="s">
        <v>293</v>
      </c>
      <c r="P136" s="14" t="s">
        <v>294</v>
      </c>
      <c r="Q136" s="14" t="s">
        <v>295</v>
      </c>
    </row>
    <row r="137" spans="1:17" ht="14.25">
      <c r="A137" s="13" t="s">
        <v>213</v>
      </c>
      <c r="B137" s="13" t="s">
        <v>279</v>
      </c>
      <c r="C137" s="13" t="s">
        <v>296</v>
      </c>
      <c r="D137" s="13" t="s">
        <v>287</v>
      </c>
      <c r="E137" s="14" t="s">
        <v>18</v>
      </c>
      <c r="F137" s="13" t="s">
        <v>297</v>
      </c>
      <c r="G137" s="14">
        <v>2</v>
      </c>
      <c r="H137" s="18">
        <v>200</v>
      </c>
      <c r="I137" s="18">
        <v>400</v>
      </c>
      <c r="J137" s="14" t="s">
        <v>108</v>
      </c>
      <c r="K137" s="14" t="s">
        <v>108</v>
      </c>
      <c r="L137" s="16">
        <v>3.0000000000000001E-3</v>
      </c>
      <c r="M137" s="16">
        <v>2.5000000000000001E-3</v>
      </c>
      <c r="N137" s="16">
        <v>3.0000000000000001E-3</v>
      </c>
      <c r="O137" s="16">
        <v>2.5000000000000001E-3</v>
      </c>
      <c r="P137" s="16">
        <v>3.0000000000000001E-3</v>
      </c>
      <c r="Q137" s="16">
        <v>2.5000000000000001E-3</v>
      </c>
    </row>
    <row r="138" spans="1:17" ht="14.25">
      <c r="A138" s="13" t="s">
        <v>213</v>
      </c>
      <c r="B138" s="13" t="s">
        <v>279</v>
      </c>
      <c r="C138" s="13" t="s">
        <v>296</v>
      </c>
      <c r="D138" s="13" t="s">
        <v>287</v>
      </c>
      <c r="E138" s="14" t="s">
        <v>18</v>
      </c>
      <c r="F138" s="13" t="s">
        <v>289</v>
      </c>
      <c r="G138" s="14">
        <v>2</v>
      </c>
      <c r="H138" s="18">
        <v>100</v>
      </c>
      <c r="I138" s="18">
        <v>200</v>
      </c>
      <c r="J138" s="14" t="s">
        <v>108</v>
      </c>
      <c r="K138" s="14" t="s">
        <v>108</v>
      </c>
      <c r="L138" s="14" t="s">
        <v>290</v>
      </c>
      <c r="M138" s="14" t="s">
        <v>291</v>
      </c>
      <c r="N138" s="14" t="s">
        <v>292</v>
      </c>
      <c r="O138" s="14" t="s">
        <v>293</v>
      </c>
      <c r="P138" s="14" t="s">
        <v>294</v>
      </c>
      <c r="Q138" s="14" t="s">
        <v>295</v>
      </c>
    </row>
    <row r="139" spans="1:17" ht="14.25">
      <c r="A139" s="13" t="s">
        <v>213</v>
      </c>
      <c r="B139" s="13" t="s">
        <v>279</v>
      </c>
      <c r="C139" s="13" t="s">
        <v>296</v>
      </c>
      <c r="D139" s="13" t="s">
        <v>287</v>
      </c>
      <c r="E139" s="14" t="s">
        <v>18</v>
      </c>
      <c r="F139" s="13" t="s">
        <v>298</v>
      </c>
      <c r="G139" s="14">
        <v>2</v>
      </c>
      <c r="H139" s="18">
        <v>100</v>
      </c>
      <c r="I139" s="18">
        <v>200</v>
      </c>
      <c r="J139" s="17">
        <v>0.99</v>
      </c>
      <c r="K139" s="17">
        <v>1</v>
      </c>
      <c r="L139" s="17">
        <v>0.99</v>
      </c>
      <c r="M139" s="17">
        <v>1</v>
      </c>
      <c r="N139" s="17">
        <v>0.99</v>
      </c>
      <c r="O139" s="17">
        <v>1</v>
      </c>
      <c r="P139" s="17">
        <v>0.99</v>
      </c>
      <c r="Q139" s="17">
        <v>1</v>
      </c>
    </row>
    <row r="140" spans="1:17" ht="14.25">
      <c r="A140" s="13" t="s">
        <v>213</v>
      </c>
      <c r="B140" s="13" t="s">
        <v>279</v>
      </c>
      <c r="C140" s="13" t="s">
        <v>299</v>
      </c>
      <c r="D140" s="13" t="s">
        <v>300</v>
      </c>
      <c r="E140" s="14" t="s">
        <v>18</v>
      </c>
      <c r="F140" s="13" t="s">
        <v>282</v>
      </c>
      <c r="G140" s="14">
        <v>2</v>
      </c>
      <c r="H140" s="18">
        <v>200</v>
      </c>
      <c r="I140" s="18">
        <v>400</v>
      </c>
      <c r="J140" s="14" t="s">
        <v>108</v>
      </c>
      <c r="K140" s="14" t="s">
        <v>108</v>
      </c>
      <c r="L140" s="16">
        <v>3.0000000000000001E-3</v>
      </c>
      <c r="M140" s="16">
        <v>2.5000000000000001E-3</v>
      </c>
      <c r="N140" s="16">
        <v>3.0000000000000001E-3</v>
      </c>
      <c r="O140" s="16">
        <v>2.5000000000000001E-3</v>
      </c>
      <c r="P140" s="16">
        <v>3.0000000000000001E-3</v>
      </c>
      <c r="Q140" s="16">
        <v>2.5000000000000001E-3</v>
      </c>
    </row>
    <row r="141" spans="1:17" ht="14.25">
      <c r="A141" s="13" t="s">
        <v>213</v>
      </c>
      <c r="B141" s="13" t="s">
        <v>279</v>
      </c>
      <c r="C141" s="13" t="s">
        <v>299</v>
      </c>
      <c r="D141" s="13" t="s">
        <v>300</v>
      </c>
      <c r="E141" s="14" t="s">
        <v>18</v>
      </c>
      <c r="F141" s="13" t="s">
        <v>288</v>
      </c>
      <c r="G141" s="14">
        <v>2</v>
      </c>
      <c r="H141" s="18">
        <v>100</v>
      </c>
      <c r="I141" s="18">
        <v>200</v>
      </c>
      <c r="J141" s="14">
        <v>9.6</v>
      </c>
      <c r="K141" s="14">
        <v>9.1199999999999992</v>
      </c>
      <c r="L141" s="14">
        <v>9.1999999999999993</v>
      </c>
      <c r="M141" s="14">
        <v>8.74</v>
      </c>
      <c r="N141" s="14">
        <v>9.15</v>
      </c>
      <c r="O141" s="14">
        <v>8.69</v>
      </c>
      <c r="P141" s="14">
        <v>9.33</v>
      </c>
      <c r="Q141" s="14">
        <v>8.86</v>
      </c>
    </row>
    <row r="142" spans="1:17" ht="14.25">
      <c r="A142" s="13" t="s">
        <v>213</v>
      </c>
      <c r="B142" s="13" t="s">
        <v>279</v>
      </c>
      <c r="C142" s="13" t="s">
        <v>299</v>
      </c>
      <c r="D142" s="13" t="s">
        <v>300</v>
      </c>
      <c r="E142" s="14" t="s">
        <v>18</v>
      </c>
      <c r="F142" s="13" t="s">
        <v>289</v>
      </c>
      <c r="G142" s="14">
        <v>2</v>
      </c>
      <c r="H142" s="18">
        <v>100</v>
      </c>
      <c r="I142" s="18">
        <v>200</v>
      </c>
      <c r="J142" s="14" t="s">
        <v>108</v>
      </c>
      <c r="K142" s="14" t="s">
        <v>108</v>
      </c>
      <c r="L142" s="14" t="s">
        <v>290</v>
      </c>
      <c r="M142" s="14" t="s">
        <v>291</v>
      </c>
      <c r="N142" s="14" t="s">
        <v>292</v>
      </c>
      <c r="O142" s="14" t="s">
        <v>293</v>
      </c>
      <c r="P142" s="14" t="s">
        <v>294</v>
      </c>
      <c r="Q142" s="14" t="s">
        <v>295</v>
      </c>
    </row>
    <row r="143" spans="1:17" ht="14.25">
      <c r="A143" s="13" t="s">
        <v>213</v>
      </c>
      <c r="B143" s="13" t="s">
        <v>279</v>
      </c>
      <c r="C143" s="13" t="s">
        <v>301</v>
      </c>
      <c r="D143" s="13" t="s">
        <v>287</v>
      </c>
      <c r="E143" s="14" t="s">
        <v>18</v>
      </c>
      <c r="F143" s="13" t="s">
        <v>282</v>
      </c>
      <c r="G143" s="14">
        <v>2</v>
      </c>
      <c r="H143" s="18">
        <v>200</v>
      </c>
      <c r="I143" s="18">
        <v>400</v>
      </c>
      <c r="J143" s="14" t="s">
        <v>108</v>
      </c>
      <c r="K143" s="14" t="s">
        <v>108</v>
      </c>
      <c r="L143" s="16">
        <v>3.0000000000000001E-3</v>
      </c>
      <c r="M143" s="16">
        <v>2.5000000000000001E-3</v>
      </c>
      <c r="N143" s="16">
        <v>3.0000000000000001E-3</v>
      </c>
      <c r="O143" s="16">
        <v>2.5000000000000001E-3</v>
      </c>
      <c r="P143" s="16">
        <v>3.0000000000000001E-3</v>
      </c>
      <c r="Q143" s="16">
        <v>2.5000000000000001E-3</v>
      </c>
    </row>
    <row r="144" spans="1:17" ht="14.25">
      <c r="A144" s="13" t="s">
        <v>213</v>
      </c>
      <c r="B144" s="13" t="s">
        <v>279</v>
      </c>
      <c r="C144" s="13" t="s">
        <v>301</v>
      </c>
      <c r="D144" s="13" t="s">
        <v>287</v>
      </c>
      <c r="E144" s="14" t="s">
        <v>18</v>
      </c>
      <c r="F144" s="13" t="s">
        <v>288</v>
      </c>
      <c r="G144" s="14">
        <v>2</v>
      </c>
      <c r="H144" s="18">
        <v>100</v>
      </c>
      <c r="I144" s="18">
        <v>200</v>
      </c>
      <c r="J144" s="14">
        <v>9.6</v>
      </c>
      <c r="K144" s="14">
        <v>9.1199999999999992</v>
      </c>
      <c r="L144" s="14">
        <v>9.1999999999999993</v>
      </c>
      <c r="M144" s="14">
        <v>8.74</v>
      </c>
      <c r="N144" s="14">
        <v>9.15</v>
      </c>
      <c r="O144" s="14">
        <v>8.69</v>
      </c>
      <c r="P144" s="14">
        <v>9.33</v>
      </c>
      <c r="Q144" s="14">
        <v>8.86</v>
      </c>
    </row>
    <row r="145" spans="1:17" ht="14.25">
      <c r="A145" s="13" t="s">
        <v>213</v>
      </c>
      <c r="B145" s="13" t="s">
        <v>279</v>
      </c>
      <c r="C145" s="13" t="s">
        <v>301</v>
      </c>
      <c r="D145" s="13" t="s">
        <v>287</v>
      </c>
      <c r="E145" s="14" t="s">
        <v>18</v>
      </c>
      <c r="F145" s="13" t="s">
        <v>289</v>
      </c>
      <c r="G145" s="14">
        <v>2</v>
      </c>
      <c r="H145" s="18">
        <v>100</v>
      </c>
      <c r="I145" s="18">
        <v>200</v>
      </c>
      <c r="J145" s="14" t="s">
        <v>108</v>
      </c>
      <c r="K145" s="14" t="s">
        <v>108</v>
      </c>
      <c r="L145" s="14" t="s">
        <v>290</v>
      </c>
      <c r="M145" s="14" t="s">
        <v>291</v>
      </c>
      <c r="N145" s="14" t="s">
        <v>292</v>
      </c>
      <c r="O145" s="14" t="s">
        <v>293</v>
      </c>
      <c r="P145" s="14" t="s">
        <v>294</v>
      </c>
      <c r="Q145" s="14" t="s">
        <v>295</v>
      </c>
    </row>
    <row r="146" spans="1:17" ht="14.25">
      <c r="A146" s="13" t="s">
        <v>213</v>
      </c>
      <c r="B146" s="13" t="s">
        <v>279</v>
      </c>
      <c r="C146" s="13" t="s">
        <v>302</v>
      </c>
      <c r="D146" s="13" t="s">
        <v>287</v>
      </c>
      <c r="E146" s="14" t="s">
        <v>18</v>
      </c>
      <c r="F146" s="13" t="s">
        <v>282</v>
      </c>
      <c r="G146" s="14">
        <v>2</v>
      </c>
      <c r="H146" s="18">
        <v>200</v>
      </c>
      <c r="I146" s="18">
        <v>400</v>
      </c>
      <c r="J146" s="14" t="s">
        <v>108</v>
      </c>
      <c r="K146" s="14" t="s">
        <v>108</v>
      </c>
      <c r="L146" s="16">
        <v>3.0000000000000001E-3</v>
      </c>
      <c r="M146" s="16">
        <v>2.5000000000000001E-3</v>
      </c>
      <c r="N146" s="16">
        <v>3.0000000000000001E-3</v>
      </c>
      <c r="O146" s="16">
        <v>2.5000000000000001E-3</v>
      </c>
      <c r="P146" s="16">
        <v>3.0000000000000001E-3</v>
      </c>
      <c r="Q146" s="16">
        <v>2.5000000000000001E-3</v>
      </c>
    </row>
    <row r="147" spans="1:17" ht="14.25">
      <c r="A147" s="13" t="s">
        <v>213</v>
      </c>
      <c r="B147" s="13" t="s">
        <v>279</v>
      </c>
      <c r="C147" s="13" t="s">
        <v>302</v>
      </c>
      <c r="D147" s="13" t="s">
        <v>287</v>
      </c>
      <c r="E147" s="14" t="s">
        <v>18</v>
      </c>
      <c r="F147" s="13" t="s">
        <v>288</v>
      </c>
      <c r="G147" s="14">
        <v>2</v>
      </c>
      <c r="H147" s="18">
        <v>100</v>
      </c>
      <c r="I147" s="18">
        <v>200</v>
      </c>
      <c r="J147" s="14">
        <v>9.6</v>
      </c>
      <c r="K147" s="14">
        <v>9.1199999999999992</v>
      </c>
      <c r="L147" s="14">
        <v>9.1999999999999993</v>
      </c>
      <c r="M147" s="14">
        <v>8.74</v>
      </c>
      <c r="N147" s="14">
        <v>9.15</v>
      </c>
      <c r="O147" s="14">
        <v>8.69</v>
      </c>
      <c r="P147" s="14">
        <v>9.33</v>
      </c>
      <c r="Q147" s="14">
        <v>8.86</v>
      </c>
    </row>
    <row r="148" spans="1:17" ht="14.25">
      <c r="A148" s="13" t="s">
        <v>213</v>
      </c>
      <c r="B148" s="13" t="s">
        <v>279</v>
      </c>
      <c r="C148" s="13" t="s">
        <v>303</v>
      </c>
      <c r="D148" s="13" t="s">
        <v>304</v>
      </c>
      <c r="E148" s="14" t="s">
        <v>18</v>
      </c>
      <c r="F148" s="13" t="s">
        <v>282</v>
      </c>
      <c r="G148" s="14">
        <v>4</v>
      </c>
      <c r="H148" s="13" t="s">
        <v>43</v>
      </c>
      <c r="I148" s="13" t="s">
        <v>44</v>
      </c>
      <c r="J148" s="14" t="s">
        <v>108</v>
      </c>
      <c r="K148" s="14" t="s">
        <v>108</v>
      </c>
      <c r="L148" s="16">
        <v>3.0000000000000001E-3</v>
      </c>
      <c r="M148" s="16">
        <v>2.5000000000000001E-3</v>
      </c>
      <c r="N148" s="16">
        <v>3.0000000000000001E-3</v>
      </c>
      <c r="O148" s="16">
        <v>2.5000000000000001E-3</v>
      </c>
      <c r="P148" s="16">
        <v>3.0000000000000001E-3</v>
      </c>
      <c r="Q148" s="16">
        <v>2.5000000000000001E-3</v>
      </c>
    </row>
    <row r="149" spans="1:17" ht="14.25">
      <c r="A149" s="13" t="s">
        <v>213</v>
      </c>
      <c r="B149" s="13" t="s">
        <v>279</v>
      </c>
      <c r="C149" s="13" t="s">
        <v>303</v>
      </c>
      <c r="D149" s="13" t="s">
        <v>304</v>
      </c>
      <c r="E149" s="14" t="s">
        <v>18</v>
      </c>
      <c r="F149" s="13" t="s">
        <v>305</v>
      </c>
      <c r="G149" s="14">
        <v>4</v>
      </c>
      <c r="H149" s="13" t="s">
        <v>33</v>
      </c>
      <c r="I149" s="13" t="s">
        <v>43</v>
      </c>
      <c r="J149" s="14" t="s">
        <v>108</v>
      </c>
      <c r="K149" s="14" t="s">
        <v>108</v>
      </c>
      <c r="L149" s="30">
        <v>11.458333333333334</v>
      </c>
      <c r="M149" s="30">
        <v>10.375</v>
      </c>
      <c r="N149" s="30">
        <v>10.083333333333334</v>
      </c>
      <c r="O149" s="30">
        <v>8.7916666666666661</v>
      </c>
      <c r="P149" s="30">
        <v>8.875</v>
      </c>
      <c r="Q149" s="30">
        <v>7.458333333333333</v>
      </c>
    </row>
    <row r="150" spans="1:17" ht="14.25">
      <c r="A150" s="13" t="s">
        <v>213</v>
      </c>
      <c r="B150" s="13" t="s">
        <v>279</v>
      </c>
      <c r="C150" s="13" t="s">
        <v>303</v>
      </c>
      <c r="D150" s="13" t="s">
        <v>304</v>
      </c>
      <c r="E150" s="14" t="s">
        <v>18</v>
      </c>
      <c r="F150" s="13" t="s">
        <v>284</v>
      </c>
      <c r="G150" s="14">
        <v>4</v>
      </c>
      <c r="H150" s="13" t="s">
        <v>43</v>
      </c>
      <c r="I150" s="13" t="s">
        <v>44</v>
      </c>
      <c r="J150" s="19">
        <v>429627.15</v>
      </c>
      <c r="K150" s="19">
        <v>408145.79</v>
      </c>
      <c r="L150" s="19">
        <v>434568.16</v>
      </c>
      <c r="M150" s="19">
        <v>412839.75</v>
      </c>
      <c r="N150" s="19">
        <v>394036.2</v>
      </c>
      <c r="O150" s="19">
        <v>374334.39</v>
      </c>
      <c r="P150" s="19">
        <v>382004.8</v>
      </c>
      <c r="Q150" s="19">
        <v>362904.56</v>
      </c>
    </row>
    <row r="151" spans="1:17" ht="14.25">
      <c r="A151" s="13" t="s">
        <v>213</v>
      </c>
      <c r="B151" s="13" t="s">
        <v>279</v>
      </c>
      <c r="C151" s="13" t="s">
        <v>303</v>
      </c>
      <c r="D151" s="13" t="s">
        <v>304</v>
      </c>
      <c r="E151" s="14" t="s">
        <v>18</v>
      </c>
      <c r="F151" s="13" t="s">
        <v>306</v>
      </c>
      <c r="G151" s="14">
        <v>4</v>
      </c>
      <c r="H151" s="13" t="s">
        <v>33</v>
      </c>
      <c r="I151" s="13" t="s">
        <v>43</v>
      </c>
      <c r="J151" s="16">
        <v>0.03</v>
      </c>
      <c r="K151" s="16">
        <v>2.8000000000000001E-2</v>
      </c>
      <c r="L151" s="16">
        <v>0.03</v>
      </c>
      <c r="M151" s="16">
        <v>2.8000000000000001E-2</v>
      </c>
      <c r="N151" s="16">
        <v>0.03</v>
      </c>
      <c r="O151" s="16">
        <v>2.8000000000000001E-2</v>
      </c>
      <c r="P151" s="16">
        <v>0.03</v>
      </c>
      <c r="Q151" s="16">
        <v>2.8000000000000001E-2</v>
      </c>
    </row>
    <row r="152" spans="1:17" ht="14.25">
      <c r="A152" s="13" t="s">
        <v>213</v>
      </c>
      <c r="B152" s="13" t="s">
        <v>279</v>
      </c>
      <c r="C152" s="13" t="s">
        <v>302</v>
      </c>
      <c r="D152" s="13" t="s">
        <v>287</v>
      </c>
      <c r="E152" s="14" t="s">
        <v>18</v>
      </c>
      <c r="F152" s="13" t="s">
        <v>289</v>
      </c>
      <c r="G152" s="14">
        <v>2</v>
      </c>
      <c r="H152" s="18">
        <v>100</v>
      </c>
      <c r="I152" s="18">
        <v>200</v>
      </c>
      <c r="J152" s="14" t="s">
        <v>108</v>
      </c>
      <c r="K152" s="14" t="s">
        <v>108</v>
      </c>
      <c r="L152" s="14" t="s">
        <v>290</v>
      </c>
      <c r="M152" s="14" t="s">
        <v>291</v>
      </c>
      <c r="N152" s="14" t="s">
        <v>292</v>
      </c>
      <c r="O152" s="14" t="s">
        <v>293</v>
      </c>
      <c r="P152" s="14" t="s">
        <v>294</v>
      </c>
      <c r="Q152" s="14" t="s">
        <v>295</v>
      </c>
    </row>
    <row r="153" spans="1:17" ht="14.25">
      <c r="A153" s="13" t="s">
        <v>213</v>
      </c>
      <c r="B153" s="13" t="s">
        <v>279</v>
      </c>
      <c r="C153" s="13" t="s">
        <v>307</v>
      </c>
      <c r="D153" s="13" t="s">
        <v>287</v>
      </c>
      <c r="E153" s="14" t="s">
        <v>18</v>
      </c>
      <c r="F153" s="13" t="s">
        <v>297</v>
      </c>
      <c r="G153" s="14">
        <v>2</v>
      </c>
      <c r="H153" s="18">
        <v>200</v>
      </c>
      <c r="I153" s="18">
        <v>400</v>
      </c>
      <c r="J153" s="14" t="s">
        <v>108</v>
      </c>
      <c r="K153" s="14" t="s">
        <v>108</v>
      </c>
      <c r="L153" s="16">
        <v>3.0000000000000001E-3</v>
      </c>
      <c r="M153" s="16">
        <v>2.5000000000000001E-3</v>
      </c>
      <c r="N153" s="16">
        <v>3.0000000000000001E-3</v>
      </c>
      <c r="O153" s="16">
        <v>2.5000000000000001E-3</v>
      </c>
      <c r="P153" s="16">
        <v>3.0000000000000001E-3</v>
      </c>
      <c r="Q153" s="16">
        <v>2.5000000000000001E-3</v>
      </c>
    </row>
    <row r="154" spans="1:17" ht="14.25">
      <c r="A154" s="13" t="s">
        <v>213</v>
      </c>
      <c r="B154" s="13" t="s">
        <v>279</v>
      </c>
      <c r="C154" s="13" t="s">
        <v>307</v>
      </c>
      <c r="D154" s="13" t="s">
        <v>287</v>
      </c>
      <c r="E154" s="14" t="s">
        <v>18</v>
      </c>
      <c r="F154" s="13" t="s">
        <v>289</v>
      </c>
      <c r="G154" s="14">
        <v>2</v>
      </c>
      <c r="H154" s="18">
        <v>100</v>
      </c>
      <c r="I154" s="18">
        <v>200</v>
      </c>
      <c r="J154" s="14" t="s">
        <v>108</v>
      </c>
      <c r="K154" s="14" t="s">
        <v>108</v>
      </c>
      <c r="L154" s="14" t="s">
        <v>290</v>
      </c>
      <c r="M154" s="14" t="s">
        <v>291</v>
      </c>
      <c r="N154" s="14" t="s">
        <v>292</v>
      </c>
      <c r="O154" s="14" t="s">
        <v>293</v>
      </c>
      <c r="P154" s="14" t="s">
        <v>294</v>
      </c>
      <c r="Q154" s="14" t="s">
        <v>295</v>
      </c>
    </row>
    <row r="155" spans="1:17" ht="14.25">
      <c r="A155" s="13" t="s">
        <v>213</v>
      </c>
      <c r="B155" s="13" t="s">
        <v>279</v>
      </c>
      <c r="C155" s="13" t="s">
        <v>307</v>
      </c>
      <c r="D155" s="13" t="s">
        <v>287</v>
      </c>
      <c r="E155" s="14" t="s">
        <v>18</v>
      </c>
      <c r="F155" s="13" t="s">
        <v>298</v>
      </c>
      <c r="G155" s="14">
        <v>2</v>
      </c>
      <c r="H155" s="18">
        <v>100</v>
      </c>
      <c r="I155" s="18">
        <v>200</v>
      </c>
      <c r="J155" s="17">
        <v>0.99</v>
      </c>
      <c r="K155" s="17">
        <v>1</v>
      </c>
      <c r="L155" s="17">
        <v>0.99</v>
      </c>
      <c r="M155" s="17">
        <v>1</v>
      </c>
      <c r="N155" s="17">
        <v>0.99</v>
      </c>
      <c r="O155" s="17">
        <v>1</v>
      </c>
      <c r="P155" s="17">
        <v>0.99</v>
      </c>
      <c r="Q155" s="17">
        <v>1</v>
      </c>
    </row>
    <row r="156" spans="1:17" ht="14.25">
      <c r="A156" s="13" t="s">
        <v>213</v>
      </c>
      <c r="B156" s="13" t="s">
        <v>308</v>
      </c>
      <c r="C156" s="13" t="s">
        <v>309</v>
      </c>
      <c r="D156" s="13" t="s">
        <v>310</v>
      </c>
      <c r="E156" s="14" t="s">
        <v>18</v>
      </c>
      <c r="F156" s="13" t="s">
        <v>161</v>
      </c>
      <c r="G156" s="14">
        <v>1</v>
      </c>
      <c r="H156" s="13" t="s">
        <v>169</v>
      </c>
      <c r="I156" s="33" t="s">
        <v>36</v>
      </c>
      <c r="J156" s="17">
        <v>0.75</v>
      </c>
      <c r="K156" s="17">
        <v>0.8</v>
      </c>
      <c r="L156" s="17">
        <v>0.75</v>
      </c>
      <c r="M156" s="17">
        <v>0.8</v>
      </c>
      <c r="N156" s="17">
        <v>0.75</v>
      </c>
      <c r="O156" s="17">
        <v>0.8</v>
      </c>
      <c r="P156" s="17">
        <v>0.75</v>
      </c>
      <c r="Q156" s="17">
        <v>0.8</v>
      </c>
    </row>
    <row r="157" spans="1:17" ht="14.25">
      <c r="A157" s="13" t="s">
        <v>213</v>
      </c>
      <c r="B157" s="13" t="s">
        <v>308</v>
      </c>
      <c r="C157" s="13" t="s">
        <v>309</v>
      </c>
      <c r="D157" s="13" t="s">
        <v>310</v>
      </c>
      <c r="E157" s="14" t="s">
        <v>18</v>
      </c>
      <c r="F157" s="13" t="s">
        <v>311</v>
      </c>
      <c r="G157" s="14">
        <v>1</v>
      </c>
      <c r="H157" s="13" t="s">
        <v>239</v>
      </c>
      <c r="I157" s="33" t="s">
        <v>32</v>
      </c>
      <c r="J157" s="31" t="s">
        <v>108</v>
      </c>
      <c r="K157" s="31" t="s">
        <v>108</v>
      </c>
      <c r="L157" s="17">
        <v>0.9</v>
      </c>
      <c r="M157" s="17">
        <v>0.95</v>
      </c>
      <c r="N157" s="17">
        <v>0.9</v>
      </c>
      <c r="O157" s="17">
        <v>0.95</v>
      </c>
      <c r="P157" s="17">
        <v>0.9</v>
      </c>
      <c r="Q157" s="17">
        <v>0.95</v>
      </c>
    </row>
    <row r="158" spans="1:17" ht="14.25">
      <c r="A158" s="13" t="s">
        <v>213</v>
      </c>
      <c r="B158" s="13" t="s">
        <v>308</v>
      </c>
      <c r="C158" s="13" t="s">
        <v>312</v>
      </c>
      <c r="D158" s="13" t="s">
        <v>310</v>
      </c>
      <c r="E158" s="14" t="s">
        <v>18</v>
      </c>
      <c r="F158" s="13" t="s">
        <v>161</v>
      </c>
      <c r="G158" s="14">
        <v>1</v>
      </c>
      <c r="H158" s="13" t="s">
        <v>169</v>
      </c>
      <c r="I158" s="33" t="s">
        <v>36</v>
      </c>
      <c r="J158" s="17">
        <v>0.75</v>
      </c>
      <c r="K158" s="17">
        <v>0.8</v>
      </c>
      <c r="L158" s="17">
        <v>0.75</v>
      </c>
      <c r="M158" s="17">
        <v>0.8</v>
      </c>
      <c r="N158" s="17">
        <v>0.75</v>
      </c>
      <c r="O158" s="17">
        <v>0.8</v>
      </c>
      <c r="P158" s="17">
        <v>0.75</v>
      </c>
      <c r="Q158" s="17">
        <v>0.8</v>
      </c>
    </row>
    <row r="159" spans="1:17" ht="14.25">
      <c r="A159" s="13" t="s">
        <v>213</v>
      </c>
      <c r="B159" s="13" t="s">
        <v>308</v>
      </c>
      <c r="C159" s="13" t="s">
        <v>312</v>
      </c>
      <c r="D159" s="13" t="s">
        <v>310</v>
      </c>
      <c r="E159" s="14" t="s">
        <v>18</v>
      </c>
      <c r="F159" s="13" t="s">
        <v>313</v>
      </c>
      <c r="G159" s="14">
        <v>1</v>
      </c>
      <c r="H159" s="13" t="s">
        <v>239</v>
      </c>
      <c r="I159" s="33" t="s">
        <v>32</v>
      </c>
      <c r="J159" s="17">
        <v>0.95</v>
      </c>
      <c r="K159" s="17">
        <v>1</v>
      </c>
      <c r="L159" s="17">
        <v>0.95</v>
      </c>
      <c r="M159" s="17">
        <v>1</v>
      </c>
      <c r="N159" s="17">
        <v>0.95</v>
      </c>
      <c r="O159" s="17">
        <v>1</v>
      </c>
      <c r="P159" s="17">
        <v>0.95</v>
      </c>
      <c r="Q159" s="17">
        <v>1</v>
      </c>
    </row>
    <row r="160" spans="1:17" ht="14.25">
      <c r="A160" s="13" t="s">
        <v>213</v>
      </c>
      <c r="B160" s="13" t="s">
        <v>308</v>
      </c>
      <c r="C160" s="13" t="s">
        <v>314</v>
      </c>
      <c r="D160" s="13" t="s">
        <v>310</v>
      </c>
      <c r="E160" s="14" t="s">
        <v>18</v>
      </c>
      <c r="F160" s="13" t="s">
        <v>161</v>
      </c>
      <c r="G160" s="14">
        <v>1</v>
      </c>
      <c r="H160" s="13" t="s">
        <v>169</v>
      </c>
      <c r="I160" s="33" t="s">
        <v>36</v>
      </c>
      <c r="J160" s="17">
        <v>0.75</v>
      </c>
      <c r="K160" s="17">
        <v>0.8</v>
      </c>
      <c r="L160" s="17">
        <v>0.75</v>
      </c>
      <c r="M160" s="17">
        <v>0.8</v>
      </c>
      <c r="N160" s="17">
        <v>0.75</v>
      </c>
      <c r="O160" s="17">
        <v>0.8</v>
      </c>
      <c r="P160" s="17">
        <v>0.75</v>
      </c>
      <c r="Q160" s="17">
        <v>0.8</v>
      </c>
    </row>
    <row r="161" spans="1:17" ht="14.25">
      <c r="A161" s="13" t="s">
        <v>213</v>
      </c>
      <c r="B161" s="13" t="s">
        <v>308</v>
      </c>
      <c r="C161" s="13" t="s">
        <v>314</v>
      </c>
      <c r="D161" s="13" t="s">
        <v>310</v>
      </c>
      <c r="E161" s="14" t="s">
        <v>18</v>
      </c>
      <c r="F161" s="13" t="s">
        <v>311</v>
      </c>
      <c r="G161" s="14">
        <v>1</v>
      </c>
      <c r="H161" s="13" t="s">
        <v>239</v>
      </c>
      <c r="I161" s="33" t="s">
        <v>32</v>
      </c>
      <c r="J161" s="31" t="s">
        <v>108</v>
      </c>
      <c r="K161" s="31" t="s">
        <v>108</v>
      </c>
      <c r="L161" s="17">
        <v>0.9</v>
      </c>
      <c r="M161" s="17">
        <v>0.95</v>
      </c>
      <c r="N161" s="17">
        <v>0.9</v>
      </c>
      <c r="O161" s="17">
        <v>0.95</v>
      </c>
      <c r="P161" s="17">
        <v>0.9</v>
      </c>
      <c r="Q161" s="17">
        <v>0.95</v>
      </c>
    </row>
    <row r="162" spans="1:17" ht="14.25">
      <c r="A162" s="13" t="s">
        <v>213</v>
      </c>
      <c r="B162" s="13" t="s">
        <v>308</v>
      </c>
      <c r="C162" s="13" t="s">
        <v>315</v>
      </c>
      <c r="D162" s="13" t="s">
        <v>310</v>
      </c>
      <c r="E162" s="14" t="s">
        <v>18</v>
      </c>
      <c r="F162" s="13" t="s">
        <v>313</v>
      </c>
      <c r="G162" s="14">
        <v>1</v>
      </c>
      <c r="H162" s="13" t="s">
        <v>169</v>
      </c>
      <c r="I162" s="33" t="s">
        <v>36</v>
      </c>
      <c r="J162" s="17">
        <v>0.95</v>
      </c>
      <c r="K162" s="17">
        <v>1</v>
      </c>
      <c r="L162" s="17">
        <v>0.95</v>
      </c>
      <c r="M162" s="17">
        <v>1</v>
      </c>
      <c r="N162" s="17">
        <v>0.95</v>
      </c>
      <c r="O162" s="17">
        <v>1</v>
      </c>
      <c r="P162" s="17">
        <v>0.95</v>
      </c>
      <c r="Q162" s="17">
        <v>1</v>
      </c>
    </row>
    <row r="163" spans="1:17" ht="14.25">
      <c r="A163" s="13" t="s">
        <v>213</v>
      </c>
      <c r="B163" s="13" t="s">
        <v>308</v>
      </c>
      <c r="C163" s="13" t="s">
        <v>315</v>
      </c>
      <c r="D163" s="13" t="s">
        <v>310</v>
      </c>
      <c r="E163" s="14" t="s">
        <v>18</v>
      </c>
      <c r="F163" s="13" t="s">
        <v>161</v>
      </c>
      <c r="G163" s="14">
        <v>1</v>
      </c>
      <c r="H163" s="13" t="s">
        <v>239</v>
      </c>
      <c r="I163" s="33" t="s">
        <v>32</v>
      </c>
      <c r="J163" s="17">
        <v>0.75</v>
      </c>
      <c r="K163" s="17">
        <v>0.8</v>
      </c>
      <c r="L163" s="17">
        <v>0.75</v>
      </c>
      <c r="M163" s="17">
        <v>0.8</v>
      </c>
      <c r="N163" s="17">
        <v>0.75</v>
      </c>
      <c r="O163" s="17">
        <v>0.8</v>
      </c>
      <c r="P163" s="17">
        <v>0.75</v>
      </c>
      <c r="Q163" s="17">
        <v>0.8</v>
      </c>
    </row>
    <row r="164" spans="1:17" ht="14.25">
      <c r="A164" s="13" t="s">
        <v>213</v>
      </c>
      <c r="B164" s="13" t="s">
        <v>316</v>
      </c>
      <c r="C164" s="13" t="s">
        <v>317</v>
      </c>
      <c r="D164" s="13" t="s">
        <v>318</v>
      </c>
      <c r="E164" s="14" t="s">
        <v>18</v>
      </c>
      <c r="F164" s="13" t="s">
        <v>319</v>
      </c>
      <c r="G164" s="14">
        <v>3</v>
      </c>
      <c r="H164" s="13" t="s">
        <v>64</v>
      </c>
      <c r="I164" s="13" t="s">
        <v>65</v>
      </c>
      <c r="J164" s="19">
        <v>158081.06</v>
      </c>
      <c r="K164" s="19">
        <v>150177.01</v>
      </c>
      <c r="L164" s="19">
        <v>141051.06</v>
      </c>
      <c r="M164" s="19">
        <v>133998.51</v>
      </c>
      <c r="N164" s="19">
        <v>137063.38</v>
      </c>
      <c r="O164" s="19">
        <v>130210.21</v>
      </c>
      <c r="P164" s="19">
        <v>125329.12</v>
      </c>
      <c r="Q164" s="19">
        <v>119062.66</v>
      </c>
    </row>
    <row r="165" spans="1:17" ht="14.25">
      <c r="A165" s="13" t="s">
        <v>213</v>
      </c>
      <c r="B165" s="13" t="s">
        <v>316</v>
      </c>
      <c r="C165" s="13" t="s">
        <v>317</v>
      </c>
      <c r="D165" s="13" t="s">
        <v>318</v>
      </c>
      <c r="E165" s="14" t="s">
        <v>18</v>
      </c>
      <c r="F165" s="13" t="s">
        <v>161</v>
      </c>
      <c r="G165" s="14">
        <v>3</v>
      </c>
      <c r="H165" s="13" t="s">
        <v>283</v>
      </c>
      <c r="I165" s="13" t="s">
        <v>16</v>
      </c>
      <c r="J165" s="17">
        <v>0.75</v>
      </c>
      <c r="K165" s="17">
        <v>0.8</v>
      </c>
      <c r="L165" s="17">
        <v>0.75</v>
      </c>
      <c r="M165" s="17">
        <v>0.8</v>
      </c>
      <c r="N165" s="17">
        <v>0.75</v>
      </c>
      <c r="O165" s="17">
        <v>0.8</v>
      </c>
      <c r="P165" s="17">
        <v>0.75</v>
      </c>
      <c r="Q165" s="17">
        <v>0.8</v>
      </c>
    </row>
    <row r="166" spans="1:17" ht="14.25">
      <c r="A166" s="13" t="s">
        <v>213</v>
      </c>
      <c r="B166" s="13" t="s">
        <v>316</v>
      </c>
      <c r="C166" s="13" t="s">
        <v>320</v>
      </c>
      <c r="D166" s="13" t="s">
        <v>321</v>
      </c>
      <c r="E166" s="14" t="s">
        <v>18</v>
      </c>
      <c r="F166" s="13" t="s">
        <v>319</v>
      </c>
      <c r="G166" s="14">
        <v>4</v>
      </c>
      <c r="H166" s="18">
        <v>500</v>
      </c>
      <c r="I166" s="18">
        <v>1000</v>
      </c>
      <c r="J166" s="19">
        <v>158081.06</v>
      </c>
      <c r="K166" s="19">
        <v>150177.01</v>
      </c>
      <c r="L166" s="19">
        <v>141051.06</v>
      </c>
      <c r="M166" s="19">
        <v>133998.51</v>
      </c>
      <c r="N166" s="19">
        <v>137063.38</v>
      </c>
      <c r="O166" s="19">
        <v>130210.21</v>
      </c>
      <c r="P166" s="19">
        <v>125329.12</v>
      </c>
      <c r="Q166" s="19">
        <v>119062.66</v>
      </c>
    </row>
    <row r="167" spans="1:17" ht="14.25">
      <c r="A167" s="13" t="s">
        <v>213</v>
      </c>
      <c r="B167" s="13" t="s">
        <v>316</v>
      </c>
      <c r="C167" s="13" t="s">
        <v>320</v>
      </c>
      <c r="D167" s="13" t="s">
        <v>321</v>
      </c>
      <c r="E167" s="14" t="s">
        <v>18</v>
      </c>
      <c r="F167" s="13" t="s">
        <v>161</v>
      </c>
      <c r="G167" s="14">
        <v>4</v>
      </c>
      <c r="H167" s="18">
        <v>500</v>
      </c>
      <c r="I167" s="18">
        <v>1000</v>
      </c>
      <c r="J167" s="17">
        <v>0.75</v>
      </c>
      <c r="K167" s="17">
        <v>0.8</v>
      </c>
      <c r="L167" s="17">
        <v>0.75</v>
      </c>
      <c r="M167" s="17">
        <v>0.8</v>
      </c>
      <c r="N167" s="17">
        <v>0.75</v>
      </c>
      <c r="O167" s="17">
        <v>0.8</v>
      </c>
      <c r="P167" s="17">
        <v>0.75</v>
      </c>
      <c r="Q167" s="17">
        <v>0.8</v>
      </c>
    </row>
    <row r="168" spans="1:17" ht="14.25">
      <c r="A168" s="13" t="s">
        <v>213</v>
      </c>
      <c r="B168" s="13" t="s">
        <v>316</v>
      </c>
      <c r="C168" s="13" t="s">
        <v>320</v>
      </c>
      <c r="D168" s="13" t="s">
        <v>321</v>
      </c>
      <c r="E168" s="14" t="s">
        <v>18</v>
      </c>
      <c r="F168" s="13" t="s">
        <v>322</v>
      </c>
      <c r="G168" s="14">
        <v>4</v>
      </c>
      <c r="H168" s="18">
        <v>200</v>
      </c>
      <c r="I168" s="18">
        <v>400</v>
      </c>
      <c r="J168" s="16" t="s">
        <v>108</v>
      </c>
      <c r="K168" s="16" t="s">
        <v>108</v>
      </c>
      <c r="L168" s="16">
        <v>0.05</v>
      </c>
      <c r="M168" s="16">
        <v>4.8000000000000001E-2</v>
      </c>
      <c r="N168" s="16">
        <v>0.05</v>
      </c>
      <c r="O168" s="16">
        <v>4.8000000000000001E-2</v>
      </c>
      <c r="P168" s="16">
        <v>0.05</v>
      </c>
      <c r="Q168" s="16">
        <v>4.8000000000000001E-2</v>
      </c>
    </row>
    <row r="169" spans="1:17" ht="14.25">
      <c r="A169" s="13" t="s">
        <v>213</v>
      </c>
      <c r="B169" s="13" t="s">
        <v>323</v>
      </c>
      <c r="C169" s="13" t="s">
        <v>324</v>
      </c>
      <c r="D169" s="13" t="s">
        <v>325</v>
      </c>
      <c r="E169" s="14" t="s">
        <v>18</v>
      </c>
      <c r="F169" s="13" t="s">
        <v>326</v>
      </c>
      <c r="G169" s="14">
        <v>3</v>
      </c>
      <c r="H169" s="13" t="s">
        <v>88</v>
      </c>
      <c r="I169" s="13" t="s">
        <v>89</v>
      </c>
      <c r="J169" s="14" t="s">
        <v>108</v>
      </c>
      <c r="K169" s="14" t="s">
        <v>108</v>
      </c>
      <c r="L169" s="17">
        <v>0.9</v>
      </c>
      <c r="M169" s="17">
        <v>0.95</v>
      </c>
      <c r="N169" s="17">
        <v>0.9</v>
      </c>
      <c r="O169" s="17">
        <v>0.95</v>
      </c>
      <c r="P169" s="17">
        <v>0.9</v>
      </c>
      <c r="Q169" s="17">
        <v>0.95</v>
      </c>
    </row>
    <row r="170" spans="1:17" ht="14.25">
      <c r="A170" s="13" t="s">
        <v>213</v>
      </c>
      <c r="B170" s="13" t="s">
        <v>323</v>
      </c>
      <c r="C170" s="13" t="s">
        <v>324</v>
      </c>
      <c r="D170" s="13" t="s">
        <v>325</v>
      </c>
      <c r="E170" s="14" t="s">
        <v>18</v>
      </c>
      <c r="F170" s="13" t="s">
        <v>327</v>
      </c>
      <c r="G170" s="14">
        <v>3</v>
      </c>
      <c r="H170" s="13" t="s">
        <v>88</v>
      </c>
      <c r="I170" s="13" t="s">
        <v>89</v>
      </c>
      <c r="J170" s="14" t="s">
        <v>108</v>
      </c>
      <c r="K170" s="14" t="s">
        <v>108</v>
      </c>
      <c r="L170" s="16">
        <v>3.0000000000000001E-3</v>
      </c>
      <c r="M170" s="16">
        <v>2.5000000000000001E-3</v>
      </c>
      <c r="N170" s="16">
        <v>3.0000000000000001E-3</v>
      </c>
      <c r="O170" s="16">
        <v>2.5000000000000001E-3</v>
      </c>
      <c r="P170" s="16">
        <v>3.0000000000000001E-3</v>
      </c>
      <c r="Q170" s="16">
        <v>2.5000000000000001E-3</v>
      </c>
    </row>
    <row r="171" spans="1:17" ht="14.25">
      <c r="A171" s="13" t="s">
        <v>213</v>
      </c>
      <c r="B171" s="13" t="s">
        <v>323</v>
      </c>
      <c r="C171" s="13" t="s">
        <v>328</v>
      </c>
      <c r="D171" s="13" t="s">
        <v>325</v>
      </c>
      <c r="E171" s="14" t="s">
        <v>18</v>
      </c>
      <c r="F171" s="13" t="s">
        <v>326</v>
      </c>
      <c r="G171" s="14">
        <v>3</v>
      </c>
      <c r="H171" s="13" t="s">
        <v>88</v>
      </c>
      <c r="I171" s="13" t="s">
        <v>89</v>
      </c>
      <c r="J171" s="14" t="s">
        <v>108</v>
      </c>
      <c r="K171" s="14" t="s">
        <v>108</v>
      </c>
      <c r="L171" s="17">
        <v>0.9</v>
      </c>
      <c r="M171" s="17">
        <v>0.95</v>
      </c>
      <c r="N171" s="17">
        <v>0.9</v>
      </c>
      <c r="O171" s="17">
        <v>0.95</v>
      </c>
      <c r="P171" s="17">
        <v>0.9</v>
      </c>
      <c r="Q171" s="17">
        <v>0.95</v>
      </c>
    </row>
    <row r="172" spans="1:17" ht="14.25">
      <c r="A172" s="13" t="s">
        <v>213</v>
      </c>
      <c r="B172" s="13" t="s">
        <v>323</v>
      </c>
      <c r="C172" s="13" t="s">
        <v>328</v>
      </c>
      <c r="D172" s="13" t="s">
        <v>325</v>
      </c>
      <c r="E172" s="14" t="s">
        <v>18</v>
      </c>
      <c r="F172" s="13" t="s">
        <v>327</v>
      </c>
      <c r="G172" s="14">
        <v>3</v>
      </c>
      <c r="H172" s="13" t="s">
        <v>88</v>
      </c>
      <c r="I172" s="13" t="s">
        <v>89</v>
      </c>
      <c r="J172" s="14" t="s">
        <v>108</v>
      </c>
      <c r="K172" s="14" t="s">
        <v>108</v>
      </c>
      <c r="L172" s="16">
        <v>3.0000000000000001E-3</v>
      </c>
      <c r="M172" s="16">
        <v>2.5000000000000001E-3</v>
      </c>
      <c r="N172" s="16">
        <v>3.0000000000000001E-3</v>
      </c>
      <c r="O172" s="16">
        <v>2.5000000000000001E-3</v>
      </c>
      <c r="P172" s="16">
        <v>3.0000000000000001E-3</v>
      </c>
      <c r="Q172" s="16">
        <v>2.5000000000000001E-3</v>
      </c>
    </row>
    <row r="173" spans="1:17" ht="14.25">
      <c r="A173" s="13" t="s">
        <v>213</v>
      </c>
      <c r="B173" s="13" t="s">
        <v>323</v>
      </c>
      <c r="C173" s="13" t="s">
        <v>329</v>
      </c>
      <c r="D173" s="13" t="s">
        <v>330</v>
      </c>
      <c r="E173" s="14" t="s">
        <v>18</v>
      </c>
      <c r="F173" s="13" t="s">
        <v>331</v>
      </c>
      <c r="G173" s="14">
        <v>4</v>
      </c>
      <c r="H173" s="13" t="s">
        <v>33</v>
      </c>
      <c r="I173" s="13" t="s">
        <v>43</v>
      </c>
      <c r="J173" s="14" t="s">
        <v>108</v>
      </c>
      <c r="K173" s="14" t="s">
        <v>108</v>
      </c>
      <c r="L173" s="30">
        <v>25.875</v>
      </c>
      <c r="M173" s="30">
        <v>25</v>
      </c>
      <c r="N173" s="30">
        <v>22.791666666666668</v>
      </c>
      <c r="O173" s="30">
        <v>21.25</v>
      </c>
      <c r="P173" s="30">
        <v>20.041666666666668</v>
      </c>
      <c r="Q173" s="30">
        <v>18.041666666666668</v>
      </c>
    </row>
    <row r="174" spans="1:17" ht="14.25">
      <c r="A174" s="13" t="s">
        <v>213</v>
      </c>
      <c r="B174" s="13" t="s">
        <v>323</v>
      </c>
      <c r="C174" s="13" t="s">
        <v>329</v>
      </c>
      <c r="D174" s="13" t="s">
        <v>330</v>
      </c>
      <c r="E174" s="14" t="s">
        <v>18</v>
      </c>
      <c r="F174" s="13" t="s">
        <v>332</v>
      </c>
      <c r="G174" s="14">
        <v>4</v>
      </c>
      <c r="H174" s="13" t="s">
        <v>43</v>
      </c>
      <c r="I174" s="13" t="s">
        <v>44</v>
      </c>
      <c r="J174" s="19">
        <v>532729.84</v>
      </c>
      <c r="K174" s="19">
        <v>506093.35</v>
      </c>
      <c r="L174" s="19">
        <v>525792.03</v>
      </c>
      <c r="M174" s="19">
        <v>499502.43</v>
      </c>
      <c r="N174" s="19">
        <v>523881.35</v>
      </c>
      <c r="O174" s="19">
        <v>497687.28</v>
      </c>
      <c r="P174" s="19">
        <v>508760.2</v>
      </c>
      <c r="Q174" s="19">
        <v>483322.19</v>
      </c>
    </row>
    <row r="175" spans="1:17" ht="14.25">
      <c r="A175" s="13" t="s">
        <v>213</v>
      </c>
      <c r="B175" s="13" t="s">
        <v>323</v>
      </c>
      <c r="C175" s="13" t="s">
        <v>329</v>
      </c>
      <c r="D175" s="13" t="s">
        <v>330</v>
      </c>
      <c r="E175" s="14" t="s">
        <v>18</v>
      </c>
      <c r="F175" s="13" t="s">
        <v>327</v>
      </c>
      <c r="G175" s="14">
        <v>4</v>
      </c>
      <c r="H175" s="13" t="s">
        <v>88</v>
      </c>
      <c r="I175" s="13" t="s">
        <v>44</v>
      </c>
      <c r="J175" s="14" t="s">
        <v>108</v>
      </c>
      <c r="K175" s="14" t="s">
        <v>108</v>
      </c>
      <c r="L175" s="16">
        <v>3.0000000000000001E-3</v>
      </c>
      <c r="M175" s="16">
        <v>2.5000000000000001E-3</v>
      </c>
      <c r="N175" s="16">
        <v>3.0000000000000001E-3</v>
      </c>
      <c r="O175" s="16">
        <v>2.5000000000000001E-3</v>
      </c>
      <c r="P175" s="16">
        <v>3.0000000000000001E-3</v>
      </c>
      <c r="Q175" s="16">
        <v>2.5000000000000001E-3</v>
      </c>
    </row>
    <row r="176" spans="1:17" ht="14.25">
      <c r="A176" s="13" t="s">
        <v>213</v>
      </c>
      <c r="B176" s="13" t="s">
        <v>323</v>
      </c>
      <c r="C176" s="13" t="s">
        <v>329</v>
      </c>
      <c r="D176" s="13" t="s">
        <v>330</v>
      </c>
      <c r="E176" s="14" t="s">
        <v>18</v>
      </c>
      <c r="F176" s="13" t="s">
        <v>333</v>
      </c>
      <c r="G176" s="14">
        <v>4</v>
      </c>
      <c r="H176" s="13" t="s">
        <v>33</v>
      </c>
      <c r="I176" s="13" t="s">
        <v>43</v>
      </c>
      <c r="J176" s="16">
        <v>4.4999999999999998E-2</v>
      </c>
      <c r="K176" s="16">
        <v>0.04</v>
      </c>
      <c r="L176" s="16">
        <v>4.4999999999999998E-2</v>
      </c>
      <c r="M176" s="16">
        <v>0.04</v>
      </c>
      <c r="N176" s="16">
        <v>4.4999999999999998E-2</v>
      </c>
      <c r="O176" s="16">
        <v>0.04</v>
      </c>
      <c r="P176" s="16">
        <v>4.4999999999999998E-2</v>
      </c>
      <c r="Q176" s="16">
        <v>0.04</v>
      </c>
    </row>
    <row r="177" spans="1:17" ht="14.25">
      <c r="A177" s="13" t="s">
        <v>213</v>
      </c>
      <c r="B177" s="13" t="s">
        <v>213</v>
      </c>
      <c r="C177" s="13" t="s">
        <v>334</v>
      </c>
      <c r="D177" s="13" t="s">
        <v>335</v>
      </c>
      <c r="E177" s="14" t="s">
        <v>18</v>
      </c>
      <c r="F177" s="13" t="s">
        <v>336</v>
      </c>
      <c r="G177" s="14">
        <v>6</v>
      </c>
      <c r="H177" s="13" t="s">
        <v>337</v>
      </c>
      <c r="I177" s="13" t="s">
        <v>20</v>
      </c>
      <c r="J177" s="17">
        <v>0.85</v>
      </c>
      <c r="K177" s="17">
        <v>0.9</v>
      </c>
      <c r="L177" s="17">
        <v>0.85</v>
      </c>
      <c r="M177" s="17">
        <v>0.9</v>
      </c>
      <c r="N177" s="17">
        <v>0.85</v>
      </c>
      <c r="O177" s="17">
        <v>0.9</v>
      </c>
      <c r="P177" s="17">
        <v>0.85</v>
      </c>
      <c r="Q177" s="17">
        <v>0.9</v>
      </c>
    </row>
    <row r="178" spans="1:17" ht="14.25">
      <c r="A178" s="13" t="s">
        <v>213</v>
      </c>
      <c r="B178" s="13" t="s">
        <v>213</v>
      </c>
      <c r="C178" s="13" t="s">
        <v>334</v>
      </c>
      <c r="D178" s="13" t="s">
        <v>335</v>
      </c>
      <c r="E178" s="14" t="s">
        <v>18</v>
      </c>
      <c r="F178" s="13" t="s">
        <v>338</v>
      </c>
      <c r="G178" s="14">
        <v>6</v>
      </c>
      <c r="H178" s="13" t="s">
        <v>339</v>
      </c>
      <c r="I178" s="13" t="s">
        <v>340</v>
      </c>
      <c r="J178" s="19">
        <v>4609126.7699999996</v>
      </c>
      <c r="K178" s="19">
        <v>4378670.43</v>
      </c>
      <c r="L178" s="19">
        <v>4285155.51</v>
      </c>
      <c r="M178" s="19">
        <v>4070897.73</v>
      </c>
      <c r="N178" s="19">
        <v>4203185.54</v>
      </c>
      <c r="O178" s="19">
        <v>3993026.26</v>
      </c>
      <c r="P178" s="19">
        <v>3798858.08</v>
      </c>
      <c r="Q178" s="19">
        <v>3608915.18</v>
      </c>
    </row>
    <row r="179" spans="1:17" ht="14.25">
      <c r="A179" s="13" t="s">
        <v>213</v>
      </c>
      <c r="B179" s="13" t="s">
        <v>213</v>
      </c>
      <c r="C179" s="13" t="s">
        <v>334</v>
      </c>
      <c r="D179" s="13" t="s">
        <v>335</v>
      </c>
      <c r="E179" s="14" t="s">
        <v>18</v>
      </c>
      <c r="F179" s="13" t="s">
        <v>161</v>
      </c>
      <c r="G179" s="14">
        <v>6</v>
      </c>
      <c r="H179" s="13" t="s">
        <v>17</v>
      </c>
      <c r="I179" s="13" t="s">
        <v>341</v>
      </c>
      <c r="J179" s="17">
        <v>0.75</v>
      </c>
      <c r="K179" s="17">
        <v>0.8</v>
      </c>
      <c r="L179" s="17">
        <v>0.75</v>
      </c>
      <c r="M179" s="17">
        <v>0.8</v>
      </c>
      <c r="N179" s="17">
        <v>0.75</v>
      </c>
      <c r="O179" s="17">
        <v>0.8</v>
      </c>
      <c r="P179" s="17">
        <v>0.75</v>
      </c>
      <c r="Q179" s="17">
        <v>0.8</v>
      </c>
    </row>
    <row r="180" spans="1:17" ht="14.25">
      <c r="A180" s="13" t="s">
        <v>213</v>
      </c>
      <c r="B180" s="13" t="s">
        <v>342</v>
      </c>
      <c r="C180" s="13" t="s">
        <v>343</v>
      </c>
      <c r="D180" s="13" t="s">
        <v>344</v>
      </c>
      <c r="E180" s="14" t="s">
        <v>18</v>
      </c>
      <c r="F180" s="13" t="s">
        <v>345</v>
      </c>
      <c r="G180" s="14">
        <v>2</v>
      </c>
      <c r="H180" s="18">
        <v>200</v>
      </c>
      <c r="I180" s="18">
        <v>400</v>
      </c>
      <c r="J180" s="17">
        <v>0.85</v>
      </c>
      <c r="K180" s="17">
        <v>0.9</v>
      </c>
      <c r="L180" s="17">
        <v>0.85</v>
      </c>
      <c r="M180" s="17">
        <v>0.9</v>
      </c>
      <c r="N180" s="17">
        <v>0.85</v>
      </c>
      <c r="O180" s="17">
        <v>0.9</v>
      </c>
      <c r="P180" s="17">
        <v>0.85</v>
      </c>
      <c r="Q180" s="17">
        <v>0.9</v>
      </c>
    </row>
    <row r="181" spans="1:17" ht="14.25">
      <c r="A181" s="13" t="s">
        <v>213</v>
      </c>
      <c r="B181" s="13" t="s">
        <v>342</v>
      </c>
      <c r="C181" s="13" t="s">
        <v>343</v>
      </c>
      <c r="D181" s="13" t="s">
        <v>344</v>
      </c>
      <c r="E181" s="14" t="s">
        <v>18</v>
      </c>
      <c r="F181" s="13" t="s">
        <v>346</v>
      </c>
      <c r="G181" s="14">
        <v>2</v>
      </c>
      <c r="H181" s="13" t="s">
        <v>32</v>
      </c>
      <c r="I181" s="13" t="s">
        <v>33</v>
      </c>
      <c r="J181" s="14" t="s">
        <v>108</v>
      </c>
      <c r="K181" s="14" t="s">
        <v>108</v>
      </c>
      <c r="L181" s="30">
        <v>5.458333333333333</v>
      </c>
      <c r="M181" s="30">
        <v>5.25</v>
      </c>
      <c r="N181" s="30">
        <v>4.791666666666667</v>
      </c>
      <c r="O181" s="30">
        <v>4.458333333333333</v>
      </c>
      <c r="P181" s="30">
        <v>4.208333333333333</v>
      </c>
      <c r="Q181" s="30">
        <v>3.7916666666666665</v>
      </c>
    </row>
    <row r="182" spans="1:17" ht="14.25">
      <c r="A182" s="13" t="s">
        <v>213</v>
      </c>
      <c r="B182" s="13" t="s">
        <v>342</v>
      </c>
      <c r="C182" s="13" t="s">
        <v>343</v>
      </c>
      <c r="D182" s="13" t="s">
        <v>344</v>
      </c>
      <c r="E182" s="14" t="s">
        <v>18</v>
      </c>
      <c r="F182" s="13" t="s">
        <v>347</v>
      </c>
      <c r="G182" s="14">
        <v>2</v>
      </c>
      <c r="H182" s="18">
        <v>100</v>
      </c>
      <c r="I182" s="18">
        <v>200</v>
      </c>
      <c r="J182" s="14" t="s">
        <v>108</v>
      </c>
      <c r="K182" s="14" t="s">
        <v>108</v>
      </c>
      <c r="L182" s="14" t="s">
        <v>348</v>
      </c>
      <c r="M182" s="14" t="s">
        <v>349</v>
      </c>
      <c r="N182" s="14" t="s">
        <v>348</v>
      </c>
      <c r="O182" s="14" t="s">
        <v>349</v>
      </c>
      <c r="P182" s="14" t="s">
        <v>348</v>
      </c>
      <c r="Q182" s="14" t="s">
        <v>349</v>
      </c>
    </row>
    <row r="183" spans="1:17" ht="14.25">
      <c r="A183" s="13" t="s">
        <v>213</v>
      </c>
      <c r="B183" s="13" t="s">
        <v>342</v>
      </c>
      <c r="C183" s="13" t="s">
        <v>350</v>
      </c>
      <c r="D183" s="13" t="s">
        <v>351</v>
      </c>
      <c r="E183" s="14" t="s">
        <v>18</v>
      </c>
      <c r="F183" s="13" t="s">
        <v>161</v>
      </c>
      <c r="G183" s="14">
        <v>2</v>
      </c>
      <c r="H183" s="13" t="s">
        <v>172</v>
      </c>
      <c r="I183" s="13" t="s">
        <v>283</v>
      </c>
      <c r="J183" s="17">
        <v>0.75</v>
      </c>
      <c r="K183" s="17">
        <v>0.8</v>
      </c>
      <c r="L183" s="17">
        <v>0.75</v>
      </c>
      <c r="M183" s="17">
        <v>0.8</v>
      </c>
      <c r="N183" s="17">
        <v>0.75</v>
      </c>
      <c r="O183" s="17">
        <v>0.8</v>
      </c>
      <c r="P183" s="17">
        <v>0.75</v>
      </c>
      <c r="Q183" s="17">
        <v>0.8</v>
      </c>
    </row>
    <row r="184" spans="1:17" ht="14.25">
      <c r="A184" s="13" t="s">
        <v>213</v>
      </c>
      <c r="B184" s="13" t="s">
        <v>342</v>
      </c>
      <c r="C184" s="13" t="s">
        <v>350</v>
      </c>
      <c r="D184" s="13" t="s">
        <v>351</v>
      </c>
      <c r="E184" s="14" t="s">
        <v>18</v>
      </c>
      <c r="F184" s="13" t="s">
        <v>352</v>
      </c>
      <c r="G184" s="14">
        <v>2</v>
      </c>
      <c r="H184" s="13" t="s">
        <v>169</v>
      </c>
      <c r="I184" s="13" t="s">
        <v>64</v>
      </c>
      <c r="J184" s="31" t="s">
        <v>108</v>
      </c>
      <c r="K184" s="31" t="s">
        <v>108</v>
      </c>
      <c r="L184" s="17">
        <v>0.9</v>
      </c>
      <c r="M184" s="17">
        <v>0.95</v>
      </c>
      <c r="N184" s="17">
        <v>0.9</v>
      </c>
      <c r="O184" s="17">
        <v>0.95</v>
      </c>
      <c r="P184" s="17">
        <v>0.9</v>
      </c>
      <c r="Q184" s="17">
        <v>0.95</v>
      </c>
    </row>
    <row r="185" spans="1:17" ht="14.25">
      <c r="A185" s="13" t="s">
        <v>213</v>
      </c>
      <c r="B185" s="13" t="s">
        <v>342</v>
      </c>
      <c r="C185" s="13" t="s">
        <v>353</v>
      </c>
      <c r="D185" s="13" t="s">
        <v>236</v>
      </c>
      <c r="E185" s="14" t="s">
        <v>18</v>
      </c>
      <c r="F185" s="13" t="s">
        <v>161</v>
      </c>
      <c r="G185" s="14">
        <v>1</v>
      </c>
      <c r="H185" s="13" t="s">
        <v>171</v>
      </c>
      <c r="I185" s="13" t="s">
        <v>172</v>
      </c>
      <c r="J185" s="17">
        <v>0.75</v>
      </c>
      <c r="K185" s="17">
        <v>0.8</v>
      </c>
      <c r="L185" s="17">
        <v>0.75</v>
      </c>
      <c r="M185" s="17">
        <v>0.8</v>
      </c>
      <c r="N185" s="17">
        <v>0.75</v>
      </c>
      <c r="O185" s="17">
        <v>0.8</v>
      </c>
      <c r="P185" s="17">
        <v>0.75</v>
      </c>
      <c r="Q185" s="17">
        <v>0.8</v>
      </c>
    </row>
    <row r="186" spans="1:17" ht="14.25">
      <c r="A186" s="13" t="s">
        <v>213</v>
      </c>
      <c r="B186" s="13" t="s">
        <v>342</v>
      </c>
      <c r="C186" s="13" t="s">
        <v>353</v>
      </c>
      <c r="D186" s="13" t="s">
        <v>236</v>
      </c>
      <c r="E186" s="14" t="s">
        <v>18</v>
      </c>
      <c r="F186" s="13" t="s">
        <v>354</v>
      </c>
      <c r="G186" s="14">
        <v>1</v>
      </c>
      <c r="H186" s="13" t="s">
        <v>168</v>
      </c>
      <c r="I186" s="13" t="s">
        <v>169</v>
      </c>
      <c r="J186" s="17">
        <v>0.95</v>
      </c>
      <c r="K186" s="16">
        <v>0.96499999999999997</v>
      </c>
      <c r="L186" s="17">
        <v>0.95</v>
      </c>
      <c r="M186" s="16">
        <v>0.96499999999999997</v>
      </c>
      <c r="N186" s="17">
        <v>0.95</v>
      </c>
      <c r="O186" s="16">
        <v>0.96499999999999997</v>
      </c>
      <c r="P186" s="17">
        <v>0.95</v>
      </c>
      <c r="Q186" s="16">
        <v>0.96499999999999997</v>
      </c>
    </row>
    <row r="187" spans="1:17" ht="14.25">
      <c r="A187" s="13" t="s">
        <v>213</v>
      </c>
      <c r="B187" s="13" t="s">
        <v>342</v>
      </c>
      <c r="C187" s="13" t="s">
        <v>355</v>
      </c>
      <c r="D187" s="13" t="s">
        <v>248</v>
      </c>
      <c r="E187" s="14" t="s">
        <v>18</v>
      </c>
      <c r="F187" s="13" t="s">
        <v>161</v>
      </c>
      <c r="G187" s="14">
        <v>2</v>
      </c>
      <c r="H187" s="13" t="s">
        <v>172</v>
      </c>
      <c r="I187" s="13" t="s">
        <v>283</v>
      </c>
      <c r="J187" s="17">
        <v>0.75</v>
      </c>
      <c r="K187" s="17">
        <v>0.8</v>
      </c>
      <c r="L187" s="17">
        <v>0.75</v>
      </c>
      <c r="M187" s="17">
        <v>0.8</v>
      </c>
      <c r="N187" s="17">
        <v>0.75</v>
      </c>
      <c r="O187" s="17">
        <v>0.8</v>
      </c>
      <c r="P187" s="17">
        <v>0.75</v>
      </c>
      <c r="Q187" s="17">
        <v>0.8</v>
      </c>
    </row>
    <row r="188" spans="1:17" ht="14.25">
      <c r="A188" s="13" t="s">
        <v>213</v>
      </c>
      <c r="B188" s="13" t="s">
        <v>342</v>
      </c>
      <c r="C188" s="13" t="s">
        <v>355</v>
      </c>
      <c r="D188" s="13" t="s">
        <v>248</v>
      </c>
      <c r="E188" s="14" t="s">
        <v>18</v>
      </c>
      <c r="F188" s="13" t="s">
        <v>354</v>
      </c>
      <c r="G188" s="14">
        <v>2</v>
      </c>
      <c r="H188" s="13" t="s">
        <v>169</v>
      </c>
      <c r="I188" s="13" t="s">
        <v>64</v>
      </c>
      <c r="J188" s="17">
        <v>0.95</v>
      </c>
      <c r="K188" s="16">
        <v>0.96499999999999997</v>
      </c>
      <c r="L188" s="17">
        <v>0.95</v>
      </c>
      <c r="M188" s="16">
        <v>0.96499999999999997</v>
      </c>
      <c r="N188" s="17">
        <v>0.95</v>
      </c>
      <c r="O188" s="16">
        <v>0.96499999999999997</v>
      </c>
      <c r="P188" s="17">
        <v>0.95</v>
      </c>
      <c r="Q188" s="16">
        <v>0.96499999999999997</v>
      </c>
    </row>
    <row r="189" spans="1:17" ht="14.25">
      <c r="A189" s="13" t="s">
        <v>213</v>
      </c>
      <c r="B189" s="13" t="s">
        <v>342</v>
      </c>
      <c r="C189" s="13" t="s">
        <v>356</v>
      </c>
      <c r="D189" s="13" t="s">
        <v>357</v>
      </c>
      <c r="E189" s="14" t="s">
        <v>18</v>
      </c>
      <c r="F189" s="13" t="s">
        <v>161</v>
      </c>
      <c r="G189" s="14">
        <v>4</v>
      </c>
      <c r="H189" s="13" t="s">
        <v>358</v>
      </c>
      <c r="I189" s="13" t="s">
        <v>252</v>
      </c>
      <c r="J189" s="17">
        <v>0.75</v>
      </c>
      <c r="K189" s="17">
        <v>0.8</v>
      </c>
      <c r="L189" s="17">
        <v>0.75</v>
      </c>
      <c r="M189" s="17">
        <v>0.8</v>
      </c>
      <c r="N189" s="17">
        <v>0.75</v>
      </c>
      <c r="O189" s="17">
        <v>0.8</v>
      </c>
      <c r="P189" s="17">
        <v>0.75</v>
      </c>
      <c r="Q189" s="17">
        <v>0.8</v>
      </c>
    </row>
    <row r="190" spans="1:17" ht="14.25">
      <c r="A190" s="13" t="s">
        <v>213</v>
      </c>
      <c r="B190" s="13" t="s">
        <v>342</v>
      </c>
      <c r="C190" s="13" t="s">
        <v>356</v>
      </c>
      <c r="D190" s="13" t="s">
        <v>357</v>
      </c>
      <c r="E190" s="14" t="s">
        <v>18</v>
      </c>
      <c r="F190" s="13" t="s">
        <v>359</v>
      </c>
      <c r="G190" s="14">
        <v>4</v>
      </c>
      <c r="H190" s="13" t="s">
        <v>36</v>
      </c>
      <c r="I190" s="13" t="s">
        <v>37</v>
      </c>
      <c r="J190" s="14" t="s">
        <v>108</v>
      </c>
      <c r="K190" s="14" t="s">
        <v>108</v>
      </c>
      <c r="L190" s="30">
        <v>18.541666666666668</v>
      </c>
      <c r="M190" s="30">
        <v>17.875</v>
      </c>
      <c r="N190" s="30">
        <v>16.291666666666668</v>
      </c>
      <c r="O190" s="30">
        <v>15.208333333333334</v>
      </c>
      <c r="P190" s="30">
        <v>14.333333333333334</v>
      </c>
      <c r="Q190" s="30">
        <v>12.916666666666666</v>
      </c>
    </row>
    <row r="191" spans="1:17" ht="14.25">
      <c r="A191" s="13" t="s">
        <v>213</v>
      </c>
      <c r="B191" s="13" t="s">
        <v>342</v>
      </c>
      <c r="C191" s="13" t="s">
        <v>356</v>
      </c>
      <c r="D191" s="13" t="s">
        <v>357</v>
      </c>
      <c r="E191" s="14" t="s">
        <v>18</v>
      </c>
      <c r="F191" s="13" t="s">
        <v>360</v>
      </c>
      <c r="G191" s="14">
        <v>4</v>
      </c>
      <c r="H191" s="13" t="s">
        <v>358</v>
      </c>
      <c r="I191" s="13" t="s">
        <v>252</v>
      </c>
      <c r="J191" s="17">
        <v>0.85</v>
      </c>
      <c r="K191" s="17">
        <v>0.9</v>
      </c>
      <c r="L191" s="17">
        <v>0.85</v>
      </c>
      <c r="M191" s="17">
        <v>0.9</v>
      </c>
      <c r="N191" s="17">
        <v>0.85</v>
      </c>
      <c r="O191" s="17">
        <v>0.9</v>
      </c>
      <c r="P191" s="17">
        <v>0.85</v>
      </c>
      <c r="Q191" s="17">
        <v>0.9</v>
      </c>
    </row>
    <row r="192" spans="1:17" ht="14.25">
      <c r="A192" s="13" t="s">
        <v>213</v>
      </c>
      <c r="B192" s="13" t="s">
        <v>342</v>
      </c>
      <c r="C192" s="13" t="s">
        <v>356</v>
      </c>
      <c r="D192" s="13" t="s">
        <v>357</v>
      </c>
      <c r="E192" s="14" t="s">
        <v>18</v>
      </c>
      <c r="F192" s="13" t="s">
        <v>361</v>
      </c>
      <c r="G192" s="14">
        <v>4</v>
      </c>
      <c r="H192" s="13" t="s">
        <v>43</v>
      </c>
      <c r="I192" s="13" t="s">
        <v>44</v>
      </c>
      <c r="J192" s="19">
        <v>198668.88</v>
      </c>
      <c r="K192" s="19">
        <v>188735.44</v>
      </c>
      <c r="L192" s="19">
        <v>195743.38</v>
      </c>
      <c r="M192" s="19">
        <v>185956.21</v>
      </c>
      <c r="N192" s="19">
        <v>185557.09</v>
      </c>
      <c r="O192" s="19">
        <v>176279.24</v>
      </c>
      <c r="P192" s="19">
        <v>183800.44</v>
      </c>
      <c r="Q192" s="19">
        <v>174610.42</v>
      </c>
    </row>
    <row r="193" spans="1:17" ht="14.25">
      <c r="A193" s="13" t="s">
        <v>213</v>
      </c>
      <c r="B193" s="13" t="s">
        <v>362</v>
      </c>
      <c r="C193" s="13" t="s">
        <v>363</v>
      </c>
      <c r="D193" s="13" t="s">
        <v>364</v>
      </c>
      <c r="E193" s="14" t="s">
        <v>18</v>
      </c>
      <c r="F193" s="13" t="s">
        <v>365</v>
      </c>
      <c r="G193" s="14">
        <v>4</v>
      </c>
      <c r="H193" s="13" t="s">
        <v>43</v>
      </c>
      <c r="I193" s="13" t="s">
        <v>44</v>
      </c>
      <c r="J193" s="14">
        <v>107118.54</v>
      </c>
      <c r="K193" s="14">
        <v>101762.61</v>
      </c>
      <c r="L193" s="14">
        <v>101550.87</v>
      </c>
      <c r="M193" s="14">
        <v>96473.33</v>
      </c>
      <c r="N193" s="14">
        <v>106849.27</v>
      </c>
      <c r="O193" s="14">
        <v>101506.81</v>
      </c>
      <c r="P193" s="14">
        <v>102599.27</v>
      </c>
      <c r="Q193" s="14">
        <v>97469.31</v>
      </c>
    </row>
    <row r="194" spans="1:17" ht="14.25">
      <c r="A194" s="13" t="s">
        <v>213</v>
      </c>
      <c r="B194" s="13" t="s">
        <v>362</v>
      </c>
      <c r="C194" s="13" t="s">
        <v>363</v>
      </c>
      <c r="D194" s="13" t="s">
        <v>364</v>
      </c>
      <c r="E194" s="14" t="s">
        <v>18</v>
      </c>
      <c r="F194" s="13" t="s">
        <v>366</v>
      </c>
      <c r="G194" s="14">
        <v>4</v>
      </c>
      <c r="H194" s="13" t="s">
        <v>43</v>
      </c>
      <c r="I194" s="13" t="s">
        <v>44</v>
      </c>
      <c r="J194" s="14">
        <v>3</v>
      </c>
      <c r="K194" s="14">
        <v>1</v>
      </c>
      <c r="L194" s="14">
        <v>3</v>
      </c>
      <c r="M194" s="14">
        <v>1</v>
      </c>
      <c r="N194" s="14">
        <v>3</v>
      </c>
      <c r="O194" s="14">
        <v>1</v>
      </c>
      <c r="P194" s="14">
        <v>3</v>
      </c>
      <c r="Q194" s="14">
        <v>1</v>
      </c>
    </row>
    <row r="195" spans="1:17" ht="14.25">
      <c r="A195" s="13" t="s">
        <v>213</v>
      </c>
      <c r="B195" s="13" t="s">
        <v>362</v>
      </c>
      <c r="C195" s="13" t="s">
        <v>363</v>
      </c>
      <c r="D195" s="13" t="s">
        <v>364</v>
      </c>
      <c r="E195" s="14" t="s">
        <v>18</v>
      </c>
      <c r="F195" s="13" t="s">
        <v>161</v>
      </c>
      <c r="G195" s="14">
        <v>4</v>
      </c>
      <c r="H195" s="13" t="s">
        <v>43</v>
      </c>
      <c r="I195" s="13" t="s">
        <v>44</v>
      </c>
      <c r="J195" s="17">
        <v>0.75</v>
      </c>
      <c r="K195" s="17">
        <v>0.8</v>
      </c>
      <c r="L195" s="17">
        <v>0.75</v>
      </c>
      <c r="M195" s="17">
        <v>0.8</v>
      </c>
      <c r="N195" s="17">
        <v>0.75</v>
      </c>
      <c r="O195" s="17">
        <v>0.8</v>
      </c>
      <c r="P195" s="17">
        <v>0.75</v>
      </c>
      <c r="Q195" s="17">
        <v>0.8</v>
      </c>
    </row>
    <row r="196" spans="1:17" ht="14.25">
      <c r="A196" s="13" t="s">
        <v>213</v>
      </c>
      <c r="B196" s="13" t="s">
        <v>367</v>
      </c>
      <c r="C196" s="13" t="s">
        <v>368</v>
      </c>
      <c r="D196" s="13" t="s">
        <v>369</v>
      </c>
      <c r="E196" s="14" t="s">
        <v>18</v>
      </c>
      <c r="F196" s="13" t="s">
        <v>370</v>
      </c>
      <c r="G196" s="14">
        <v>2</v>
      </c>
      <c r="H196" s="13" t="s">
        <v>33</v>
      </c>
      <c r="I196" s="13" t="s">
        <v>43</v>
      </c>
      <c r="J196" s="17">
        <v>0.85</v>
      </c>
      <c r="K196" s="17">
        <v>0.9</v>
      </c>
      <c r="L196" s="17">
        <v>0.85</v>
      </c>
      <c r="M196" s="17">
        <v>0.9</v>
      </c>
      <c r="N196" s="17">
        <v>0.85</v>
      </c>
      <c r="O196" s="17">
        <v>0.9</v>
      </c>
      <c r="P196" s="17">
        <v>0.85</v>
      </c>
      <c r="Q196" s="17">
        <v>0.9</v>
      </c>
    </row>
    <row r="197" spans="1:17" ht="14.25">
      <c r="A197" s="13" t="s">
        <v>213</v>
      </c>
      <c r="B197" s="13" t="s">
        <v>367</v>
      </c>
      <c r="C197" s="13" t="s">
        <v>368</v>
      </c>
      <c r="D197" s="13" t="s">
        <v>369</v>
      </c>
      <c r="E197" s="14" t="s">
        <v>18</v>
      </c>
      <c r="F197" s="13" t="s">
        <v>371</v>
      </c>
      <c r="G197" s="14">
        <v>2</v>
      </c>
      <c r="H197" s="13" t="s">
        <v>33</v>
      </c>
      <c r="I197" s="13" t="s">
        <v>43</v>
      </c>
      <c r="J197" s="14" t="s">
        <v>108</v>
      </c>
      <c r="K197" s="14" t="s">
        <v>108</v>
      </c>
      <c r="L197" s="14">
        <v>10</v>
      </c>
      <c r="M197" s="14">
        <v>15</v>
      </c>
      <c r="N197" s="14">
        <v>10</v>
      </c>
      <c r="O197" s="14">
        <v>15</v>
      </c>
      <c r="P197" s="14">
        <v>10</v>
      </c>
      <c r="Q197" s="14">
        <v>15</v>
      </c>
    </row>
    <row r="198" spans="1:17" ht="14.25">
      <c r="A198" s="13" t="s">
        <v>213</v>
      </c>
      <c r="B198" s="13" t="s">
        <v>367</v>
      </c>
      <c r="C198" s="13" t="s">
        <v>372</v>
      </c>
      <c r="D198" s="13" t="s">
        <v>373</v>
      </c>
      <c r="E198" s="14" t="s">
        <v>18</v>
      </c>
      <c r="F198" s="13" t="s">
        <v>370</v>
      </c>
      <c r="G198" s="14">
        <v>4</v>
      </c>
      <c r="H198" s="13" t="s">
        <v>252</v>
      </c>
      <c r="I198" s="13" t="s">
        <v>73</v>
      </c>
      <c r="J198" s="17">
        <v>0.85</v>
      </c>
      <c r="K198" s="17">
        <v>0.9</v>
      </c>
      <c r="L198" s="17">
        <v>0.85</v>
      </c>
      <c r="M198" s="17">
        <v>0.9</v>
      </c>
      <c r="N198" s="17">
        <v>0.85</v>
      </c>
      <c r="O198" s="17">
        <v>0.9</v>
      </c>
      <c r="P198" s="17">
        <v>0.85</v>
      </c>
      <c r="Q198" s="17">
        <v>0.9</v>
      </c>
    </row>
    <row r="199" spans="1:17" ht="14.25">
      <c r="A199" s="13" t="s">
        <v>213</v>
      </c>
      <c r="B199" s="13" t="s">
        <v>367</v>
      </c>
      <c r="C199" s="13" t="s">
        <v>372</v>
      </c>
      <c r="D199" s="13" t="s">
        <v>373</v>
      </c>
      <c r="E199" s="14" t="s">
        <v>18</v>
      </c>
      <c r="F199" s="13" t="s">
        <v>374</v>
      </c>
      <c r="G199" s="14">
        <v>4</v>
      </c>
      <c r="H199" s="13" t="s">
        <v>252</v>
      </c>
      <c r="I199" s="13" t="s">
        <v>73</v>
      </c>
      <c r="J199" s="19">
        <v>312834.25</v>
      </c>
      <c r="K199" s="19">
        <v>297192.53999999998</v>
      </c>
      <c r="L199" s="19">
        <v>314340.25</v>
      </c>
      <c r="M199" s="19">
        <v>298623.24</v>
      </c>
      <c r="N199" s="19">
        <v>307897.73</v>
      </c>
      <c r="O199" s="19">
        <v>292502.84000000003</v>
      </c>
      <c r="P199" s="19">
        <v>301512.09999999998</v>
      </c>
      <c r="Q199" s="19">
        <v>286436.5</v>
      </c>
    </row>
    <row r="200" spans="1:17" ht="14.25">
      <c r="A200" s="13" t="s">
        <v>213</v>
      </c>
      <c r="B200" s="13" t="s">
        <v>367</v>
      </c>
      <c r="C200" s="13" t="s">
        <v>372</v>
      </c>
      <c r="D200" s="13" t="s">
        <v>373</v>
      </c>
      <c r="E200" s="14" t="s">
        <v>18</v>
      </c>
      <c r="F200" s="13" t="s">
        <v>375</v>
      </c>
      <c r="G200" s="14">
        <v>4</v>
      </c>
      <c r="H200" s="13" t="s">
        <v>33</v>
      </c>
      <c r="I200" s="13" t="s">
        <v>43</v>
      </c>
      <c r="J200" s="14" t="s">
        <v>108</v>
      </c>
      <c r="K200" s="14" t="s">
        <v>108</v>
      </c>
      <c r="L200" s="14">
        <v>250</v>
      </c>
      <c r="M200" s="14">
        <v>300</v>
      </c>
      <c r="N200" s="14">
        <v>250</v>
      </c>
      <c r="O200" s="14">
        <v>300</v>
      </c>
      <c r="P200" s="14">
        <v>250</v>
      </c>
      <c r="Q200" s="14">
        <v>300</v>
      </c>
    </row>
    <row r="201" spans="1:17" ht="15">
      <c r="A201" s="24" t="s">
        <v>376</v>
      </c>
      <c r="B201" s="13" t="s">
        <v>376</v>
      </c>
      <c r="C201" s="13" t="s">
        <v>377</v>
      </c>
      <c r="D201" s="13" t="s">
        <v>378</v>
      </c>
      <c r="E201" s="14" t="s">
        <v>18</v>
      </c>
      <c r="F201" s="13" t="s">
        <v>379</v>
      </c>
      <c r="G201" s="14">
        <v>2</v>
      </c>
      <c r="H201" s="13" t="s">
        <v>200</v>
      </c>
      <c r="I201" s="13" t="s">
        <v>88</v>
      </c>
      <c r="J201" s="14">
        <v>1</v>
      </c>
      <c r="K201" s="14">
        <v>2</v>
      </c>
      <c r="L201" s="14">
        <v>1</v>
      </c>
      <c r="M201" s="14">
        <v>2</v>
      </c>
      <c r="N201" s="14">
        <v>1</v>
      </c>
      <c r="O201" s="14">
        <v>2</v>
      </c>
      <c r="P201" s="14">
        <v>1</v>
      </c>
      <c r="Q201" s="14">
        <v>2</v>
      </c>
    </row>
    <row r="202" spans="1:17" ht="15">
      <c r="A202" s="24" t="s">
        <v>376</v>
      </c>
      <c r="B202" s="13" t="s">
        <v>376</v>
      </c>
      <c r="C202" s="13" t="s">
        <v>377</v>
      </c>
      <c r="D202" s="13" t="s">
        <v>378</v>
      </c>
      <c r="E202" s="14" t="s">
        <v>18</v>
      </c>
      <c r="F202" s="13" t="s">
        <v>380</v>
      </c>
      <c r="G202" s="14">
        <v>2</v>
      </c>
      <c r="H202" s="13" t="s">
        <v>200</v>
      </c>
      <c r="I202" s="13" t="s">
        <v>88</v>
      </c>
      <c r="J202" s="17">
        <v>0.9</v>
      </c>
      <c r="K202" s="17">
        <v>0.95</v>
      </c>
      <c r="L202" s="17">
        <v>0.9</v>
      </c>
      <c r="M202" s="17">
        <v>0.95</v>
      </c>
      <c r="N202" s="17">
        <v>0.9</v>
      </c>
      <c r="O202" s="17">
        <v>0.95</v>
      </c>
      <c r="P202" s="17">
        <v>0.9</v>
      </c>
      <c r="Q202" s="17">
        <v>0.95</v>
      </c>
    </row>
    <row r="203" spans="1:17" ht="15">
      <c r="A203" s="24" t="s">
        <v>376</v>
      </c>
      <c r="B203" s="13" t="s">
        <v>376</v>
      </c>
      <c r="C203" s="13" t="s">
        <v>381</v>
      </c>
      <c r="D203" s="13" t="s">
        <v>382</v>
      </c>
      <c r="E203" s="14" t="s">
        <v>18</v>
      </c>
      <c r="F203" s="13" t="s">
        <v>383</v>
      </c>
      <c r="G203" s="14">
        <v>1</v>
      </c>
      <c r="H203" s="13" t="s">
        <v>199</v>
      </c>
      <c r="I203" s="13" t="s">
        <v>200</v>
      </c>
      <c r="J203" s="14">
        <v>32</v>
      </c>
      <c r="K203" s="14">
        <v>33</v>
      </c>
      <c r="L203" s="14">
        <v>32</v>
      </c>
      <c r="M203" s="14">
        <v>33</v>
      </c>
      <c r="N203" s="14">
        <v>32</v>
      </c>
      <c r="O203" s="14">
        <v>33</v>
      </c>
      <c r="P203" s="14">
        <v>32</v>
      </c>
      <c r="Q203" s="14">
        <v>33</v>
      </c>
    </row>
    <row r="204" spans="1:17" ht="15">
      <c r="A204" s="24" t="s">
        <v>376</v>
      </c>
      <c r="B204" s="13" t="s">
        <v>376</v>
      </c>
      <c r="C204" s="13" t="s">
        <v>381</v>
      </c>
      <c r="D204" s="13" t="s">
        <v>382</v>
      </c>
      <c r="E204" s="14" t="s">
        <v>18</v>
      </c>
      <c r="F204" s="13" t="s">
        <v>384</v>
      </c>
      <c r="G204" s="14">
        <v>1</v>
      </c>
      <c r="H204" s="13" t="s">
        <v>199</v>
      </c>
      <c r="I204" s="13" t="s">
        <v>200</v>
      </c>
      <c r="J204" s="14" t="s">
        <v>195</v>
      </c>
      <c r="K204" s="14" t="s">
        <v>385</v>
      </c>
      <c r="L204" s="14" t="s">
        <v>195</v>
      </c>
      <c r="M204" s="14" t="s">
        <v>385</v>
      </c>
      <c r="N204" s="14" t="s">
        <v>195</v>
      </c>
      <c r="O204" s="14" t="s">
        <v>385</v>
      </c>
      <c r="P204" s="14" t="s">
        <v>195</v>
      </c>
      <c r="Q204" s="14" t="s">
        <v>385</v>
      </c>
    </row>
    <row r="205" spans="1:17" ht="15">
      <c r="A205" s="24" t="s">
        <v>376</v>
      </c>
      <c r="B205" s="13" t="s">
        <v>376</v>
      </c>
      <c r="C205" s="13" t="s">
        <v>386</v>
      </c>
      <c r="D205" s="13" t="s">
        <v>387</v>
      </c>
      <c r="E205" s="14" t="s">
        <v>18</v>
      </c>
      <c r="F205" s="13" t="s">
        <v>388</v>
      </c>
      <c r="G205" s="14">
        <v>1</v>
      </c>
      <c r="H205" s="13" t="s">
        <v>199</v>
      </c>
      <c r="I205" s="13" t="s">
        <v>200</v>
      </c>
      <c r="J205" s="14">
        <v>3</v>
      </c>
      <c r="K205" s="14">
        <v>4</v>
      </c>
      <c r="L205" s="14">
        <v>3</v>
      </c>
      <c r="M205" s="14">
        <v>4</v>
      </c>
      <c r="N205" s="14">
        <v>3</v>
      </c>
      <c r="O205" s="14">
        <v>4</v>
      </c>
      <c r="P205" s="14">
        <v>3</v>
      </c>
      <c r="Q205" s="14">
        <v>4</v>
      </c>
    </row>
    <row r="206" spans="1:17" ht="15">
      <c r="A206" s="24" t="s">
        <v>376</v>
      </c>
      <c r="B206" s="13" t="s">
        <v>376</v>
      </c>
      <c r="C206" s="13" t="s">
        <v>386</v>
      </c>
      <c r="D206" s="13" t="s">
        <v>387</v>
      </c>
      <c r="E206" s="14" t="s">
        <v>18</v>
      </c>
      <c r="F206" s="13" t="s">
        <v>389</v>
      </c>
      <c r="G206" s="14">
        <v>1</v>
      </c>
      <c r="H206" s="13" t="s">
        <v>199</v>
      </c>
      <c r="I206" s="13" t="s">
        <v>200</v>
      </c>
      <c r="J206" s="17">
        <v>0.9</v>
      </c>
      <c r="K206" s="17">
        <v>0.92</v>
      </c>
      <c r="L206" s="17">
        <v>0.9</v>
      </c>
      <c r="M206" s="17">
        <v>0.92</v>
      </c>
      <c r="N206" s="17">
        <v>0.9</v>
      </c>
      <c r="O206" s="17">
        <v>0.92</v>
      </c>
      <c r="P206" s="17">
        <v>0.9</v>
      </c>
      <c r="Q206" s="17">
        <v>0.92</v>
      </c>
    </row>
    <row r="207" spans="1:17" ht="15">
      <c r="A207" s="24" t="s">
        <v>376</v>
      </c>
      <c r="B207" s="13" t="s">
        <v>376</v>
      </c>
      <c r="C207" s="13" t="s">
        <v>390</v>
      </c>
      <c r="D207" s="13" t="s">
        <v>391</v>
      </c>
      <c r="E207" s="14" t="s">
        <v>18</v>
      </c>
      <c r="F207" s="13" t="s">
        <v>389</v>
      </c>
      <c r="G207" s="14">
        <v>3</v>
      </c>
      <c r="H207" s="13" t="s">
        <v>172</v>
      </c>
      <c r="I207" s="13" t="s">
        <v>283</v>
      </c>
      <c r="J207" s="17">
        <v>0.9</v>
      </c>
      <c r="K207" s="17">
        <v>0.92</v>
      </c>
      <c r="L207" s="17">
        <v>0.9</v>
      </c>
      <c r="M207" s="17">
        <v>0.92</v>
      </c>
      <c r="N207" s="17">
        <v>0.9</v>
      </c>
      <c r="O207" s="17">
        <v>0.92</v>
      </c>
      <c r="P207" s="17">
        <v>0.9</v>
      </c>
      <c r="Q207" s="17">
        <v>0.92</v>
      </c>
    </row>
    <row r="208" spans="1:17" ht="15">
      <c r="A208" s="24" t="s">
        <v>376</v>
      </c>
      <c r="B208" s="13" t="s">
        <v>376</v>
      </c>
      <c r="C208" s="13" t="s">
        <v>390</v>
      </c>
      <c r="D208" s="13" t="s">
        <v>391</v>
      </c>
      <c r="E208" s="14" t="s">
        <v>18</v>
      </c>
      <c r="F208" s="13" t="s">
        <v>392</v>
      </c>
      <c r="G208" s="14">
        <v>3</v>
      </c>
      <c r="H208" s="13" t="s">
        <v>64</v>
      </c>
      <c r="I208" s="13" t="s">
        <v>65</v>
      </c>
      <c r="J208" s="14">
        <v>4</v>
      </c>
      <c r="K208" s="14">
        <v>5</v>
      </c>
      <c r="L208" s="14">
        <v>4</v>
      </c>
      <c r="M208" s="14">
        <v>5</v>
      </c>
      <c r="N208" s="14">
        <v>4</v>
      </c>
      <c r="O208" s="14">
        <v>5</v>
      </c>
      <c r="P208" s="14">
        <v>4</v>
      </c>
      <c r="Q208" s="14">
        <v>5</v>
      </c>
    </row>
    <row r="209" spans="1:17" ht="15">
      <c r="A209" s="24" t="s">
        <v>376</v>
      </c>
      <c r="B209" s="13" t="s">
        <v>376</v>
      </c>
      <c r="C209" s="13" t="s">
        <v>390</v>
      </c>
      <c r="D209" s="13" t="s">
        <v>391</v>
      </c>
      <c r="E209" s="14" t="s">
        <v>18</v>
      </c>
      <c r="F209" s="13" t="s">
        <v>393</v>
      </c>
      <c r="G209" s="14">
        <v>3</v>
      </c>
      <c r="H209" s="13" t="s">
        <v>172</v>
      </c>
      <c r="I209" s="13" t="s">
        <v>283</v>
      </c>
      <c r="J209" s="14">
        <v>4</v>
      </c>
      <c r="K209" s="14">
        <v>6</v>
      </c>
      <c r="L209" s="14">
        <v>4</v>
      </c>
      <c r="M209" s="14">
        <v>6</v>
      </c>
      <c r="N209" s="14">
        <v>4</v>
      </c>
      <c r="O209" s="14">
        <v>6</v>
      </c>
      <c r="P209" s="14">
        <v>4</v>
      </c>
      <c r="Q209" s="14">
        <v>6</v>
      </c>
    </row>
    <row r="210" spans="1:17" ht="15">
      <c r="A210" s="24" t="s">
        <v>376</v>
      </c>
      <c r="B210" s="13" t="s">
        <v>376</v>
      </c>
      <c r="C210" s="13" t="s">
        <v>394</v>
      </c>
      <c r="D210" s="13" t="s">
        <v>395</v>
      </c>
      <c r="E210" s="14" t="s">
        <v>18</v>
      </c>
      <c r="F210" s="13" t="s">
        <v>396</v>
      </c>
      <c r="G210" s="14">
        <v>1</v>
      </c>
      <c r="H210" s="13" t="s">
        <v>199</v>
      </c>
      <c r="I210" s="13" t="s">
        <v>200</v>
      </c>
      <c r="J210" s="17">
        <v>0.3</v>
      </c>
      <c r="K210" s="17">
        <v>0.32</v>
      </c>
      <c r="L210" s="17">
        <v>0.3</v>
      </c>
      <c r="M210" s="17">
        <v>0.32</v>
      </c>
      <c r="N210" s="17">
        <v>0.3</v>
      </c>
      <c r="O210" s="17">
        <v>0.32</v>
      </c>
      <c r="P210" s="17">
        <v>0.3</v>
      </c>
      <c r="Q210" s="17">
        <v>0.32</v>
      </c>
    </row>
    <row r="211" spans="1:17" ht="15">
      <c r="A211" s="24" t="s">
        <v>376</v>
      </c>
      <c r="B211" s="13" t="s">
        <v>376</v>
      </c>
      <c r="C211" s="13" t="s">
        <v>394</v>
      </c>
      <c r="D211" s="13" t="s">
        <v>395</v>
      </c>
      <c r="E211" s="14" t="s">
        <v>18</v>
      </c>
      <c r="F211" s="13" t="s">
        <v>383</v>
      </c>
      <c r="G211" s="14">
        <v>1</v>
      </c>
      <c r="H211" s="13" t="s">
        <v>199</v>
      </c>
      <c r="I211" s="13" t="s">
        <v>200</v>
      </c>
      <c r="J211" s="14">
        <v>32</v>
      </c>
      <c r="K211" s="14">
        <v>33</v>
      </c>
      <c r="L211" s="14">
        <v>32</v>
      </c>
      <c r="M211" s="14">
        <v>33</v>
      </c>
      <c r="N211" s="14">
        <v>32</v>
      </c>
      <c r="O211" s="14">
        <v>33</v>
      </c>
      <c r="P211" s="14">
        <v>32</v>
      </c>
      <c r="Q211" s="14">
        <v>33</v>
      </c>
    </row>
    <row r="212" spans="1:17" ht="15">
      <c r="A212" s="24" t="s">
        <v>376</v>
      </c>
      <c r="B212" s="13" t="s">
        <v>376</v>
      </c>
      <c r="C212" s="13" t="s">
        <v>397</v>
      </c>
      <c r="D212" s="13" t="s">
        <v>387</v>
      </c>
      <c r="E212" s="14" t="s">
        <v>18</v>
      </c>
      <c r="F212" s="13" t="s">
        <v>398</v>
      </c>
      <c r="G212" s="14">
        <v>1</v>
      </c>
      <c r="H212" s="13" t="s">
        <v>199</v>
      </c>
      <c r="I212" s="13" t="s">
        <v>200</v>
      </c>
      <c r="J212" s="14">
        <v>3</v>
      </c>
      <c r="K212" s="14" t="s">
        <v>108</v>
      </c>
      <c r="L212" s="14">
        <v>3</v>
      </c>
      <c r="M212" s="14" t="s">
        <v>108</v>
      </c>
      <c r="N212" s="14">
        <v>3</v>
      </c>
      <c r="O212" s="14" t="s">
        <v>108</v>
      </c>
      <c r="P212" s="14">
        <v>3</v>
      </c>
      <c r="Q212" s="14" t="s">
        <v>108</v>
      </c>
    </row>
    <row r="213" spans="1:17" ht="15">
      <c r="A213" s="24" t="s">
        <v>376</v>
      </c>
      <c r="B213" s="13" t="s">
        <v>376</v>
      </c>
      <c r="C213" s="13" t="s">
        <v>397</v>
      </c>
      <c r="D213" s="13" t="s">
        <v>387</v>
      </c>
      <c r="E213" s="14" t="s">
        <v>18</v>
      </c>
      <c r="F213" s="13" t="s">
        <v>393</v>
      </c>
      <c r="G213" s="14">
        <v>1</v>
      </c>
      <c r="H213" s="13" t="s">
        <v>199</v>
      </c>
      <c r="I213" s="13" t="s">
        <v>200</v>
      </c>
      <c r="J213" s="14">
        <v>4</v>
      </c>
      <c r="K213" s="14">
        <v>6</v>
      </c>
      <c r="L213" s="14">
        <v>4</v>
      </c>
      <c r="M213" s="14">
        <v>6</v>
      </c>
      <c r="N213" s="14">
        <v>4</v>
      </c>
      <c r="O213" s="14">
        <v>6</v>
      </c>
      <c r="P213" s="14">
        <v>4</v>
      </c>
      <c r="Q213" s="14">
        <v>6</v>
      </c>
    </row>
  </sheetData>
  <mergeCells count="4">
    <mergeCell ref="J1:K1"/>
    <mergeCell ref="L1:M1"/>
    <mergeCell ref="N1:O1"/>
    <mergeCell ref="P1:Q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202"/>
  <sheetViews>
    <sheetView workbookViewId="0"/>
  </sheetViews>
  <sheetFormatPr defaultColWidth="12.5703125" defaultRowHeight="15.75" customHeight="1"/>
  <cols>
    <col min="1" max="1" width="19.140625" customWidth="1"/>
    <col min="2" max="2" width="60.140625" customWidth="1"/>
    <col min="3" max="3" width="9.42578125" customWidth="1"/>
    <col min="4" max="6" width="15.85546875" customWidth="1"/>
    <col min="7" max="7" width="21.42578125" customWidth="1"/>
    <col min="8" max="8" width="22.85546875" customWidth="1"/>
    <col min="9" max="9" width="36.5703125" customWidth="1"/>
    <col min="10" max="10" width="257.28515625" customWidth="1"/>
  </cols>
  <sheetData>
    <row r="1" spans="1:10">
      <c r="A1" s="37" t="s">
        <v>399</v>
      </c>
      <c r="B1" s="37" t="s">
        <v>5</v>
      </c>
      <c r="C1" s="38" t="s">
        <v>400</v>
      </c>
      <c r="D1" s="37" t="s">
        <v>401</v>
      </c>
      <c r="E1" s="39" t="s">
        <v>402</v>
      </c>
      <c r="F1" s="37" t="s">
        <v>403</v>
      </c>
      <c r="G1" s="37" t="s">
        <v>404</v>
      </c>
      <c r="H1" s="37" t="s">
        <v>405</v>
      </c>
      <c r="I1" s="37" t="s">
        <v>406</v>
      </c>
      <c r="J1" s="37" t="s">
        <v>407</v>
      </c>
    </row>
    <row r="2" spans="1:10">
      <c r="A2" s="40" t="s">
        <v>408</v>
      </c>
      <c r="B2" s="40" t="s">
        <v>409</v>
      </c>
      <c r="C2" s="41">
        <v>46122</v>
      </c>
      <c r="D2" s="42" t="s">
        <v>410</v>
      </c>
      <c r="E2" s="42" t="s">
        <v>411</v>
      </c>
      <c r="F2" s="43"/>
      <c r="G2" s="44">
        <v>46107</v>
      </c>
      <c r="H2" s="45" t="e">
        <f t="shared" ref="H2:H256" si="0">DATE(2000+RIGHT(G2,2),MATCH(LEFT(G2,3),{"jan";"fev";"mar";"abr";"mai";"jun";"jul";"ago";"set";"out";"nov";"dez"},0),1)</f>
        <v>#N/A</v>
      </c>
      <c r="I2" s="46"/>
    </row>
    <row r="3" spans="1:10">
      <c r="A3" s="40" t="s">
        <v>408</v>
      </c>
      <c r="B3" s="40" t="s">
        <v>409</v>
      </c>
      <c r="C3" s="41">
        <v>46091</v>
      </c>
      <c r="D3" s="42" t="s">
        <v>410</v>
      </c>
      <c r="E3" s="42" t="s">
        <v>411</v>
      </c>
      <c r="F3" s="43"/>
      <c r="G3" s="44">
        <v>46079</v>
      </c>
      <c r="H3" s="45" t="e">
        <f t="shared" si="0"/>
        <v>#N/A</v>
      </c>
      <c r="I3" s="43"/>
    </row>
    <row r="4" spans="1:10">
      <c r="A4" s="40" t="s">
        <v>408</v>
      </c>
      <c r="B4" s="40" t="s">
        <v>409</v>
      </c>
      <c r="C4" s="41">
        <v>46063</v>
      </c>
      <c r="D4" s="42" t="s">
        <v>410</v>
      </c>
      <c r="E4" s="42" t="s">
        <v>411</v>
      </c>
      <c r="F4" s="47">
        <v>1908.3</v>
      </c>
      <c r="G4" s="44">
        <v>46048</v>
      </c>
      <c r="H4" s="45" t="e">
        <f t="shared" si="0"/>
        <v>#N/A</v>
      </c>
      <c r="I4" s="46">
        <v>46055.709467592591</v>
      </c>
    </row>
    <row r="5" spans="1:10">
      <c r="A5" s="40" t="s">
        <v>408</v>
      </c>
      <c r="B5" s="40" t="s">
        <v>409</v>
      </c>
      <c r="C5" s="41">
        <v>46032</v>
      </c>
      <c r="D5" s="42" t="s">
        <v>410</v>
      </c>
      <c r="E5" s="42" t="s">
        <v>411</v>
      </c>
      <c r="F5" s="47">
        <v>1606.01</v>
      </c>
      <c r="G5" s="44">
        <v>46381</v>
      </c>
      <c r="H5" s="45" t="e">
        <f t="shared" si="0"/>
        <v>#N/A</v>
      </c>
      <c r="I5" s="46">
        <v>46023.606550925928</v>
      </c>
    </row>
    <row r="6" spans="1:10">
      <c r="A6" s="40" t="s">
        <v>408</v>
      </c>
      <c r="B6" s="40" t="s">
        <v>409</v>
      </c>
      <c r="C6" s="41">
        <v>46001</v>
      </c>
      <c r="D6" s="42" t="s">
        <v>410</v>
      </c>
      <c r="E6" s="42" t="s">
        <v>411</v>
      </c>
      <c r="F6" s="47">
        <v>1327.44</v>
      </c>
      <c r="G6" s="44">
        <v>46351</v>
      </c>
      <c r="H6" s="45" t="e">
        <f t="shared" si="0"/>
        <v>#N/A</v>
      </c>
      <c r="I6" s="46">
        <v>46008.504259259258</v>
      </c>
    </row>
    <row r="7" spans="1:10">
      <c r="A7" s="40" t="s">
        <v>408</v>
      </c>
      <c r="B7" s="40" t="s">
        <v>409</v>
      </c>
      <c r="C7" s="41">
        <v>45971</v>
      </c>
      <c r="D7" s="42" t="s">
        <v>410</v>
      </c>
      <c r="E7" s="42" t="s">
        <v>411</v>
      </c>
      <c r="F7" s="47">
        <v>1264.78</v>
      </c>
      <c r="G7" s="44">
        <v>46320</v>
      </c>
      <c r="H7" s="45" t="e">
        <f t="shared" si="0"/>
        <v>#N/A</v>
      </c>
      <c r="I7" s="46">
        <v>45970.663553240738</v>
      </c>
      <c r="J7" s="40" t="s">
        <v>412</v>
      </c>
    </row>
    <row r="8" spans="1:10">
      <c r="A8" s="40" t="s">
        <v>408</v>
      </c>
      <c r="B8" s="40" t="s">
        <v>409</v>
      </c>
      <c r="C8" s="41">
        <v>45940</v>
      </c>
      <c r="D8" s="42" t="s">
        <v>410</v>
      </c>
      <c r="E8" s="42" t="s">
        <v>411</v>
      </c>
      <c r="F8" s="47">
        <v>1220.3</v>
      </c>
      <c r="G8" s="44">
        <v>46290</v>
      </c>
      <c r="H8" s="45" t="e">
        <f t="shared" si="0"/>
        <v>#N/A</v>
      </c>
      <c r="I8" s="46">
        <v>45970.657025462962</v>
      </c>
      <c r="J8" s="40" t="s">
        <v>413</v>
      </c>
    </row>
    <row r="9" spans="1:10">
      <c r="A9" s="40" t="s">
        <v>408</v>
      </c>
      <c r="B9" s="40" t="s">
        <v>409</v>
      </c>
      <c r="C9" s="41">
        <v>45910</v>
      </c>
      <c r="D9" s="42" t="s">
        <v>410</v>
      </c>
      <c r="E9" s="42" t="s">
        <v>411</v>
      </c>
      <c r="F9" s="47">
        <v>1179.1199999999999</v>
      </c>
      <c r="G9" s="44">
        <v>46259</v>
      </c>
      <c r="H9" s="45" t="e">
        <f t="shared" si="0"/>
        <v>#N/A</v>
      </c>
      <c r="I9" s="46">
        <v>45970.649710648147</v>
      </c>
      <c r="J9" s="40" t="s">
        <v>414</v>
      </c>
    </row>
    <row r="10" spans="1:10">
      <c r="A10" s="40" t="s">
        <v>408</v>
      </c>
      <c r="B10" s="40" t="s">
        <v>409</v>
      </c>
      <c r="C10" s="41">
        <v>45879</v>
      </c>
      <c r="D10" s="42" t="s">
        <v>410</v>
      </c>
      <c r="E10" s="42" t="s">
        <v>411</v>
      </c>
      <c r="F10" s="47">
        <v>1466.1</v>
      </c>
      <c r="G10" s="44">
        <v>46228</v>
      </c>
      <c r="H10" s="45" t="e">
        <f t="shared" si="0"/>
        <v>#N/A</v>
      </c>
      <c r="I10" s="46">
        <v>45970.643229166664</v>
      </c>
      <c r="J10" s="40" t="s">
        <v>415</v>
      </c>
    </row>
    <row r="11" spans="1:10">
      <c r="A11" s="40" t="s">
        <v>408</v>
      </c>
      <c r="B11" s="40" t="s">
        <v>409</v>
      </c>
      <c r="C11" s="41">
        <v>45848</v>
      </c>
      <c r="D11" s="42" t="s">
        <v>410</v>
      </c>
      <c r="E11" s="42" t="s">
        <v>411</v>
      </c>
      <c r="F11" s="47">
        <v>1104.06</v>
      </c>
      <c r="G11" s="44">
        <v>46198</v>
      </c>
      <c r="H11" s="45" t="e">
        <f t="shared" si="0"/>
        <v>#N/A</v>
      </c>
      <c r="I11" s="46">
        <v>45970.636932870373</v>
      </c>
      <c r="J11" s="40" t="s">
        <v>416</v>
      </c>
    </row>
    <row r="12" spans="1:10">
      <c r="A12" s="40" t="s">
        <v>408</v>
      </c>
      <c r="B12" s="40" t="s">
        <v>409</v>
      </c>
      <c r="C12" s="41">
        <v>45818</v>
      </c>
      <c r="D12" s="42" t="s">
        <v>410</v>
      </c>
      <c r="E12" s="42" t="s">
        <v>411</v>
      </c>
      <c r="F12" s="47">
        <v>1130.6400000000001</v>
      </c>
      <c r="G12" s="44">
        <v>46167</v>
      </c>
      <c r="H12" s="45" t="e">
        <f t="shared" si="0"/>
        <v>#N/A</v>
      </c>
      <c r="I12" s="46">
        <v>45970.564479166664</v>
      </c>
      <c r="J12" s="40" t="s">
        <v>417</v>
      </c>
    </row>
    <row r="13" spans="1:10">
      <c r="A13" s="40" t="s">
        <v>408</v>
      </c>
      <c r="B13" s="40" t="s">
        <v>409</v>
      </c>
      <c r="C13" s="41">
        <v>45787</v>
      </c>
      <c r="D13" s="42" t="s">
        <v>410</v>
      </c>
      <c r="E13" s="42" t="s">
        <v>411</v>
      </c>
      <c r="F13" s="47">
        <v>1242.5999999999999</v>
      </c>
      <c r="G13" s="44">
        <v>46137</v>
      </c>
      <c r="H13" s="45" t="e">
        <f t="shared" si="0"/>
        <v>#N/A</v>
      </c>
      <c r="I13" s="46">
        <v>45970.559363425928</v>
      </c>
      <c r="J13" s="40" t="s">
        <v>418</v>
      </c>
    </row>
    <row r="14" spans="1:10">
      <c r="A14" s="40" t="s">
        <v>408</v>
      </c>
      <c r="B14" s="40" t="s">
        <v>409</v>
      </c>
      <c r="C14" s="41">
        <v>45757</v>
      </c>
      <c r="D14" s="42" t="s">
        <v>410</v>
      </c>
      <c r="E14" s="42" t="s">
        <v>411</v>
      </c>
      <c r="F14" s="47">
        <v>1245.54</v>
      </c>
      <c r="G14" s="44">
        <v>46106</v>
      </c>
      <c r="H14" s="45" t="e">
        <f t="shared" si="0"/>
        <v>#N/A</v>
      </c>
      <c r="I14" s="46">
        <v>45970.55537037037</v>
      </c>
      <c r="J14" s="40" t="s">
        <v>419</v>
      </c>
    </row>
    <row r="15" spans="1:10">
      <c r="A15" s="40" t="s">
        <v>408</v>
      </c>
      <c r="B15" s="40" t="s">
        <v>409</v>
      </c>
      <c r="C15" s="41">
        <v>45726</v>
      </c>
      <c r="D15" s="42" t="s">
        <v>410</v>
      </c>
      <c r="E15" s="42" t="s">
        <v>411</v>
      </c>
      <c r="F15" s="47">
        <v>1261.58</v>
      </c>
      <c r="G15" s="44">
        <v>46078</v>
      </c>
      <c r="H15" s="45" t="e">
        <f t="shared" si="0"/>
        <v>#N/A</v>
      </c>
      <c r="I15" s="46">
        <v>45970.174930555557</v>
      </c>
      <c r="J15" s="40" t="s">
        <v>420</v>
      </c>
    </row>
    <row r="16" spans="1:10">
      <c r="A16" s="40" t="s">
        <v>408</v>
      </c>
      <c r="B16" s="40" t="s">
        <v>409</v>
      </c>
      <c r="C16" s="41">
        <v>45698</v>
      </c>
      <c r="D16" s="42" t="s">
        <v>410</v>
      </c>
      <c r="E16" s="42" t="s">
        <v>411</v>
      </c>
      <c r="F16" s="47">
        <v>1668.43</v>
      </c>
      <c r="G16" s="44">
        <v>46047</v>
      </c>
      <c r="H16" s="45" t="e">
        <f t="shared" si="0"/>
        <v>#N/A</v>
      </c>
      <c r="I16" s="46">
        <v>45970.138333333336</v>
      </c>
      <c r="J16" s="40" t="s">
        <v>421</v>
      </c>
    </row>
    <row r="17" spans="1:10">
      <c r="A17" s="40" t="s">
        <v>422</v>
      </c>
      <c r="B17" s="40" t="s">
        <v>423</v>
      </c>
      <c r="C17" s="41">
        <v>46117</v>
      </c>
      <c r="D17" s="42" t="s">
        <v>410</v>
      </c>
      <c r="E17" s="42" t="s">
        <v>411</v>
      </c>
      <c r="F17" s="43"/>
      <c r="G17" s="44">
        <v>46107</v>
      </c>
      <c r="H17" s="45" t="e">
        <f t="shared" si="0"/>
        <v>#N/A</v>
      </c>
      <c r="I17" s="46"/>
    </row>
    <row r="18" spans="1:10">
      <c r="A18" s="40" t="s">
        <v>422</v>
      </c>
      <c r="B18" s="40" t="s">
        <v>423</v>
      </c>
      <c r="C18" s="41">
        <v>46086</v>
      </c>
      <c r="D18" s="42" t="s">
        <v>410</v>
      </c>
      <c r="E18" s="42" t="s">
        <v>411</v>
      </c>
      <c r="F18" s="43"/>
      <c r="G18" s="44">
        <v>46079</v>
      </c>
      <c r="H18" s="45" t="e">
        <f t="shared" si="0"/>
        <v>#N/A</v>
      </c>
      <c r="I18" s="43"/>
    </row>
    <row r="19" spans="1:10">
      <c r="A19" s="40" t="s">
        <v>422</v>
      </c>
      <c r="B19" s="40" t="s">
        <v>423</v>
      </c>
      <c r="C19" s="41">
        <v>46058</v>
      </c>
      <c r="D19" s="42" t="s">
        <v>410</v>
      </c>
      <c r="E19" s="42" t="s">
        <v>411</v>
      </c>
      <c r="F19" s="47">
        <v>1957.53</v>
      </c>
      <c r="G19" s="44">
        <v>46048</v>
      </c>
      <c r="H19" s="45" t="e">
        <f t="shared" si="0"/>
        <v>#N/A</v>
      </c>
      <c r="I19" s="46">
        <v>46057.509212962963</v>
      </c>
      <c r="J19" s="40" t="s">
        <v>424</v>
      </c>
    </row>
    <row r="20" spans="1:10">
      <c r="A20" s="40" t="s">
        <v>422</v>
      </c>
      <c r="B20" s="40" t="s">
        <v>423</v>
      </c>
      <c r="C20" s="41">
        <v>46027</v>
      </c>
      <c r="D20" s="42" t="s">
        <v>410</v>
      </c>
      <c r="E20" s="42" t="s">
        <v>411</v>
      </c>
      <c r="F20" s="47">
        <v>2507.33</v>
      </c>
      <c r="G20" s="44">
        <v>46381</v>
      </c>
      <c r="H20" s="45" t="e">
        <f t="shared" si="0"/>
        <v>#N/A</v>
      </c>
      <c r="I20" s="46">
        <v>46028.614756944444</v>
      </c>
    </row>
    <row r="21" spans="1:10">
      <c r="A21" s="40" t="s">
        <v>422</v>
      </c>
      <c r="B21" s="40" t="s">
        <v>423</v>
      </c>
      <c r="C21" s="41">
        <v>45996</v>
      </c>
      <c r="D21" s="42" t="s">
        <v>410</v>
      </c>
      <c r="E21" s="42" t="s">
        <v>411</v>
      </c>
      <c r="F21" s="47">
        <v>1315.19</v>
      </c>
      <c r="G21" s="44">
        <v>46351</v>
      </c>
      <c r="H21" s="45" t="e">
        <f t="shared" si="0"/>
        <v>#N/A</v>
      </c>
      <c r="I21" s="46">
        <v>46002.625069444446</v>
      </c>
    </row>
    <row r="22" spans="1:10">
      <c r="A22" s="40" t="s">
        <v>422</v>
      </c>
      <c r="B22" s="40" t="s">
        <v>423</v>
      </c>
      <c r="C22" s="41">
        <v>45966</v>
      </c>
      <c r="D22" s="42" t="s">
        <v>410</v>
      </c>
      <c r="E22" s="42" t="s">
        <v>411</v>
      </c>
      <c r="F22" s="47">
        <v>1956.03</v>
      </c>
      <c r="G22" s="44">
        <v>46320</v>
      </c>
      <c r="H22" s="45" t="e">
        <f t="shared" si="0"/>
        <v>#N/A</v>
      </c>
      <c r="I22" s="46">
        <v>45971.767291666663</v>
      </c>
    </row>
    <row r="23" spans="1:10">
      <c r="A23" s="40" t="s">
        <v>422</v>
      </c>
      <c r="B23" s="40" t="s">
        <v>423</v>
      </c>
      <c r="C23" s="41">
        <v>45935</v>
      </c>
      <c r="D23" s="42" t="s">
        <v>410</v>
      </c>
      <c r="E23" s="42" t="s">
        <v>411</v>
      </c>
      <c r="F23" s="47">
        <v>1831.19</v>
      </c>
      <c r="G23" s="44">
        <v>46290</v>
      </c>
      <c r="H23" s="45" t="e">
        <f t="shared" si="0"/>
        <v>#N/A</v>
      </c>
      <c r="I23" s="46">
        <v>45971.767060185186</v>
      </c>
    </row>
    <row r="24" spans="1:10">
      <c r="A24" s="40" t="s">
        <v>422</v>
      </c>
      <c r="B24" s="40" t="s">
        <v>423</v>
      </c>
      <c r="C24" s="41">
        <v>45905</v>
      </c>
      <c r="D24" s="42" t="s">
        <v>410</v>
      </c>
      <c r="E24" s="42" t="s">
        <v>411</v>
      </c>
      <c r="F24" s="47">
        <v>1516.41</v>
      </c>
      <c r="G24" s="44">
        <v>46259</v>
      </c>
      <c r="H24" s="45" t="e">
        <f t="shared" si="0"/>
        <v>#N/A</v>
      </c>
      <c r="I24" s="46">
        <v>45936.648101851853</v>
      </c>
    </row>
    <row r="25" spans="1:10">
      <c r="A25" s="40" t="s">
        <v>422</v>
      </c>
      <c r="B25" s="40" t="s">
        <v>423</v>
      </c>
      <c r="C25" s="41">
        <v>45874</v>
      </c>
      <c r="D25" s="42" t="s">
        <v>410</v>
      </c>
      <c r="E25" s="42" t="s">
        <v>411</v>
      </c>
      <c r="F25" s="47">
        <v>2368.52</v>
      </c>
      <c r="G25" s="44">
        <v>46228</v>
      </c>
      <c r="H25" s="45" t="e">
        <f t="shared" si="0"/>
        <v>#N/A</v>
      </c>
      <c r="I25" s="46">
        <v>45936.648101851853</v>
      </c>
    </row>
    <row r="26" spans="1:10">
      <c r="A26" s="40" t="s">
        <v>422</v>
      </c>
      <c r="B26" s="40" t="s">
        <v>423</v>
      </c>
      <c r="C26" s="41">
        <v>45843</v>
      </c>
      <c r="D26" s="42" t="s">
        <v>410</v>
      </c>
      <c r="E26" s="42" t="s">
        <v>411</v>
      </c>
      <c r="F26" s="47">
        <v>2043.54</v>
      </c>
      <c r="G26" s="44">
        <v>46198</v>
      </c>
      <c r="H26" s="45" t="e">
        <f t="shared" si="0"/>
        <v>#N/A</v>
      </c>
      <c r="I26" s="46">
        <v>45936.648101851853</v>
      </c>
    </row>
    <row r="27" spans="1:10">
      <c r="A27" s="40" t="s">
        <v>422</v>
      </c>
      <c r="B27" s="40" t="s">
        <v>423</v>
      </c>
      <c r="C27" s="41">
        <v>45813</v>
      </c>
      <c r="D27" s="42" t="s">
        <v>410</v>
      </c>
      <c r="E27" s="42" t="s">
        <v>411</v>
      </c>
      <c r="F27" s="47">
        <v>1490.84</v>
      </c>
      <c r="G27" s="44">
        <v>46167</v>
      </c>
      <c r="H27" s="45" t="e">
        <f t="shared" si="0"/>
        <v>#N/A</v>
      </c>
      <c r="I27" s="46">
        <v>45936.648101851853</v>
      </c>
    </row>
    <row r="28" spans="1:10">
      <c r="A28" s="40" t="s">
        <v>422</v>
      </c>
      <c r="B28" s="40" t="s">
        <v>423</v>
      </c>
      <c r="C28" s="41">
        <v>45782</v>
      </c>
      <c r="D28" s="42" t="s">
        <v>410</v>
      </c>
      <c r="E28" s="42" t="s">
        <v>411</v>
      </c>
      <c r="F28" s="47">
        <v>1616.46</v>
      </c>
      <c r="G28" s="44">
        <v>46137</v>
      </c>
      <c r="H28" s="45" t="e">
        <f t="shared" si="0"/>
        <v>#N/A</v>
      </c>
      <c r="I28" s="46">
        <v>45936.648101851853</v>
      </c>
    </row>
    <row r="29" spans="1:10">
      <c r="A29" s="40" t="s">
        <v>422</v>
      </c>
      <c r="B29" s="40" t="s">
        <v>423</v>
      </c>
      <c r="C29" s="41">
        <v>45752</v>
      </c>
      <c r="D29" s="42" t="s">
        <v>410</v>
      </c>
      <c r="E29" s="42" t="s">
        <v>411</v>
      </c>
      <c r="F29" s="47">
        <v>1480.4</v>
      </c>
      <c r="G29" s="44">
        <v>46106</v>
      </c>
      <c r="H29" s="45" t="e">
        <f t="shared" si="0"/>
        <v>#N/A</v>
      </c>
      <c r="I29" s="46">
        <v>45936.648090277777</v>
      </c>
    </row>
    <row r="30" spans="1:10">
      <c r="A30" s="40" t="s">
        <v>422</v>
      </c>
      <c r="B30" s="40" t="s">
        <v>423</v>
      </c>
      <c r="C30" s="41">
        <v>45721</v>
      </c>
      <c r="D30" s="42" t="s">
        <v>410</v>
      </c>
      <c r="E30" s="42" t="s">
        <v>411</v>
      </c>
      <c r="F30" s="47">
        <v>1632.02</v>
      </c>
      <c r="G30" s="44">
        <v>46078</v>
      </c>
      <c r="H30" s="45" t="e">
        <f t="shared" si="0"/>
        <v>#N/A</v>
      </c>
      <c r="I30" s="46">
        <v>45971.766296296293</v>
      </c>
    </row>
    <row r="31" spans="1:10">
      <c r="A31" s="40" t="s">
        <v>422</v>
      </c>
      <c r="B31" s="40" t="s">
        <v>423</v>
      </c>
      <c r="C31" s="41">
        <v>45693</v>
      </c>
      <c r="D31" s="42" t="s">
        <v>410</v>
      </c>
      <c r="E31" s="42" t="s">
        <v>411</v>
      </c>
      <c r="F31" s="47">
        <v>1789.75</v>
      </c>
      <c r="G31" s="44">
        <v>46047</v>
      </c>
      <c r="H31" s="45" t="e">
        <f t="shared" si="0"/>
        <v>#N/A</v>
      </c>
      <c r="I31" s="46">
        <v>45971.766145833331</v>
      </c>
    </row>
    <row r="32" spans="1:10">
      <c r="A32" s="40" t="s">
        <v>425</v>
      </c>
      <c r="B32" s="40" t="s">
        <v>426</v>
      </c>
      <c r="C32" s="41">
        <v>46122</v>
      </c>
      <c r="D32" s="42" t="s">
        <v>410</v>
      </c>
      <c r="E32" s="42" t="s">
        <v>411</v>
      </c>
      <c r="F32" s="43"/>
      <c r="G32" s="44">
        <v>46107</v>
      </c>
      <c r="H32" s="45" t="e">
        <f t="shared" si="0"/>
        <v>#N/A</v>
      </c>
      <c r="I32" s="46"/>
    </row>
    <row r="33" spans="1:10">
      <c r="A33" s="40" t="s">
        <v>425</v>
      </c>
      <c r="B33" s="40" t="s">
        <v>426</v>
      </c>
      <c r="C33" s="41">
        <v>46091</v>
      </c>
      <c r="D33" s="42" t="s">
        <v>410</v>
      </c>
      <c r="E33" s="42" t="s">
        <v>411</v>
      </c>
      <c r="F33" s="43"/>
      <c r="G33" s="44">
        <v>46079</v>
      </c>
      <c r="H33" s="45" t="e">
        <f t="shared" si="0"/>
        <v>#N/A</v>
      </c>
      <c r="I33" s="43"/>
    </row>
    <row r="34" spans="1:10">
      <c r="A34" s="40" t="s">
        <v>425</v>
      </c>
      <c r="B34" s="40" t="s">
        <v>426</v>
      </c>
      <c r="C34" s="41">
        <v>46063</v>
      </c>
      <c r="D34" s="42" t="s">
        <v>410</v>
      </c>
      <c r="E34" s="42" t="s">
        <v>411</v>
      </c>
      <c r="F34" s="47">
        <v>1768.42</v>
      </c>
      <c r="G34" s="44">
        <v>46048</v>
      </c>
      <c r="H34" s="45" t="e">
        <f t="shared" si="0"/>
        <v>#N/A</v>
      </c>
      <c r="I34" s="46">
        <v>46056.454282407409</v>
      </c>
    </row>
    <row r="35" spans="1:10">
      <c r="A35" s="40" t="s">
        <v>425</v>
      </c>
      <c r="B35" s="40" t="s">
        <v>426</v>
      </c>
      <c r="C35" s="41">
        <v>46032</v>
      </c>
      <c r="D35" s="42" t="s">
        <v>410</v>
      </c>
      <c r="E35" s="42" t="s">
        <v>411</v>
      </c>
      <c r="F35" s="47">
        <v>1490.27</v>
      </c>
      <c r="G35" s="44">
        <v>46381</v>
      </c>
      <c r="H35" s="45" t="e">
        <f t="shared" si="0"/>
        <v>#N/A</v>
      </c>
      <c r="I35" s="46">
        <v>46032.412777777776</v>
      </c>
    </row>
    <row r="36" spans="1:10">
      <c r="A36" s="40" t="s">
        <v>425</v>
      </c>
      <c r="B36" s="40" t="s">
        <v>426</v>
      </c>
      <c r="C36" s="41">
        <v>46001</v>
      </c>
      <c r="D36" s="42" t="s">
        <v>410</v>
      </c>
      <c r="E36" s="42" t="s">
        <v>411</v>
      </c>
      <c r="F36" s="47">
        <v>1242.5999999999999</v>
      </c>
      <c r="G36" s="44">
        <v>46351</v>
      </c>
      <c r="H36" s="45" t="e">
        <f t="shared" si="0"/>
        <v>#N/A</v>
      </c>
      <c r="I36" s="46">
        <v>46002.639965277776</v>
      </c>
    </row>
    <row r="37" spans="1:10">
      <c r="A37" s="40" t="s">
        <v>425</v>
      </c>
      <c r="B37" s="40" t="s">
        <v>426</v>
      </c>
      <c r="C37" s="41">
        <v>45971</v>
      </c>
      <c r="D37" s="42" t="s">
        <v>410</v>
      </c>
      <c r="E37" s="42" t="s">
        <v>411</v>
      </c>
      <c r="F37" s="47">
        <v>1249.71</v>
      </c>
      <c r="G37" s="44">
        <v>46320</v>
      </c>
      <c r="H37" s="45" t="e">
        <f t="shared" si="0"/>
        <v>#N/A</v>
      </c>
      <c r="I37" s="46">
        <v>45970.666608796295</v>
      </c>
      <c r="J37" s="40" t="s">
        <v>427</v>
      </c>
    </row>
    <row r="38" spans="1:10">
      <c r="A38" s="40" t="s">
        <v>425</v>
      </c>
      <c r="B38" s="40" t="s">
        <v>426</v>
      </c>
      <c r="C38" s="41">
        <v>45940</v>
      </c>
      <c r="D38" s="42" t="s">
        <v>410</v>
      </c>
      <c r="E38" s="42" t="s">
        <v>411</v>
      </c>
      <c r="F38" s="47">
        <v>1183.2</v>
      </c>
      <c r="G38" s="44">
        <v>46290</v>
      </c>
      <c r="H38" s="45" t="e">
        <f t="shared" si="0"/>
        <v>#N/A</v>
      </c>
      <c r="I38" s="46">
        <v>45970.660069444442</v>
      </c>
      <c r="J38" s="40" t="s">
        <v>428</v>
      </c>
    </row>
    <row r="39" spans="1:10">
      <c r="A39" s="40" t="s">
        <v>425</v>
      </c>
      <c r="B39" s="40" t="s">
        <v>426</v>
      </c>
      <c r="C39" s="41">
        <v>45910</v>
      </c>
      <c r="D39" s="42" t="s">
        <v>410</v>
      </c>
      <c r="E39" s="42" t="s">
        <v>411</v>
      </c>
      <c r="F39" s="47">
        <v>1144.25</v>
      </c>
      <c r="G39" s="44">
        <v>46259</v>
      </c>
      <c r="H39" s="45" t="e">
        <f t="shared" si="0"/>
        <v>#N/A</v>
      </c>
      <c r="I39" s="46">
        <v>45970.65289351852</v>
      </c>
      <c r="J39" s="40" t="s">
        <v>429</v>
      </c>
    </row>
    <row r="40" spans="1:10">
      <c r="A40" s="40" t="s">
        <v>425</v>
      </c>
      <c r="B40" s="40" t="s">
        <v>426</v>
      </c>
      <c r="C40" s="41">
        <v>45879</v>
      </c>
      <c r="D40" s="42" t="s">
        <v>410</v>
      </c>
      <c r="E40" s="42" t="s">
        <v>411</v>
      </c>
      <c r="F40" s="47">
        <v>1371.54</v>
      </c>
      <c r="G40" s="44">
        <v>46228</v>
      </c>
      <c r="H40" s="45" t="e">
        <f t="shared" si="0"/>
        <v>#N/A</v>
      </c>
      <c r="I40" s="46">
        <v>45970.646377314813</v>
      </c>
      <c r="J40" s="40" t="s">
        <v>430</v>
      </c>
    </row>
    <row r="41" spans="1:10">
      <c r="A41" s="40" t="s">
        <v>425</v>
      </c>
      <c r="B41" s="40" t="s">
        <v>426</v>
      </c>
      <c r="C41" s="41">
        <v>45848</v>
      </c>
      <c r="D41" s="42" t="s">
        <v>410</v>
      </c>
      <c r="E41" s="42" t="s">
        <v>411</v>
      </c>
      <c r="F41" s="47">
        <v>1049.6099999999999</v>
      </c>
      <c r="G41" s="44">
        <v>46198</v>
      </c>
      <c r="H41" s="45" t="e">
        <f t="shared" si="0"/>
        <v>#N/A</v>
      </c>
      <c r="I41" s="46">
        <v>45970.639872685184</v>
      </c>
      <c r="J41" s="40" t="s">
        <v>431</v>
      </c>
    </row>
    <row r="42" spans="1:10">
      <c r="A42" s="40" t="s">
        <v>425</v>
      </c>
      <c r="B42" s="40" t="s">
        <v>426</v>
      </c>
      <c r="C42" s="41">
        <v>45818</v>
      </c>
      <c r="D42" s="42" t="s">
        <v>410</v>
      </c>
      <c r="E42" s="42" t="s">
        <v>411</v>
      </c>
      <c r="F42" s="47">
        <v>1066.8900000000001</v>
      </c>
      <c r="G42" s="44">
        <v>46167</v>
      </c>
      <c r="H42" s="45" t="e">
        <f t="shared" si="0"/>
        <v>#N/A</v>
      </c>
      <c r="I42" s="46">
        <v>45970.568043981482</v>
      </c>
      <c r="J42" s="40" t="s">
        <v>432</v>
      </c>
    </row>
    <row r="43" spans="1:10">
      <c r="A43" s="40" t="s">
        <v>425</v>
      </c>
      <c r="B43" s="40" t="s">
        <v>426</v>
      </c>
      <c r="C43" s="41">
        <v>45787</v>
      </c>
      <c r="D43" s="42" t="s">
        <v>410</v>
      </c>
      <c r="E43" s="42" t="s">
        <v>411</v>
      </c>
      <c r="F43" s="47">
        <v>1197.56</v>
      </c>
      <c r="G43" s="44">
        <v>46137</v>
      </c>
      <c r="H43" s="45" t="e">
        <f t="shared" si="0"/>
        <v>#N/A</v>
      </c>
      <c r="I43" s="46">
        <v>45970.56927083333</v>
      </c>
      <c r="J43" s="40" t="s">
        <v>433</v>
      </c>
    </row>
    <row r="44" spans="1:10">
      <c r="A44" s="40" t="s">
        <v>425</v>
      </c>
      <c r="B44" s="40" t="s">
        <v>426</v>
      </c>
      <c r="C44" s="41">
        <v>45757</v>
      </c>
      <c r="D44" s="42" t="s">
        <v>410</v>
      </c>
      <c r="E44" s="42" t="s">
        <v>411</v>
      </c>
      <c r="F44" s="47">
        <v>1154.32</v>
      </c>
      <c r="G44" s="44">
        <v>46106</v>
      </c>
      <c r="H44" s="45" t="e">
        <f t="shared" si="0"/>
        <v>#N/A</v>
      </c>
      <c r="I44" s="46">
        <v>45938.708495370367</v>
      </c>
    </row>
    <row r="45" spans="1:10">
      <c r="A45" s="40" t="s">
        <v>425</v>
      </c>
      <c r="B45" s="40" t="s">
        <v>426</v>
      </c>
      <c r="C45" s="41">
        <v>45726</v>
      </c>
      <c r="D45" s="42" t="s">
        <v>410</v>
      </c>
      <c r="E45" s="42" t="s">
        <v>411</v>
      </c>
      <c r="F45" s="47">
        <v>1184.3900000000001</v>
      </c>
      <c r="G45" s="44">
        <v>46078</v>
      </c>
      <c r="H45" s="45" t="e">
        <f t="shared" si="0"/>
        <v>#N/A</v>
      </c>
      <c r="I45" s="46">
        <v>45938.708495370367</v>
      </c>
    </row>
    <row r="46" spans="1:10">
      <c r="A46" s="40" t="s">
        <v>425</v>
      </c>
      <c r="B46" s="40" t="s">
        <v>426</v>
      </c>
      <c r="C46" s="41">
        <v>45698</v>
      </c>
      <c r="D46" s="42" t="s">
        <v>410</v>
      </c>
      <c r="E46" s="42" t="s">
        <v>411</v>
      </c>
      <c r="F46" s="47">
        <v>1532.7</v>
      </c>
      <c r="G46" s="44">
        <v>46047</v>
      </c>
      <c r="H46" s="45" t="e">
        <f t="shared" si="0"/>
        <v>#N/A</v>
      </c>
      <c r="I46" s="46">
        <v>45938.708495370367</v>
      </c>
    </row>
    <row r="47" spans="1:10">
      <c r="A47" s="40" t="s">
        <v>434</v>
      </c>
      <c r="B47" s="40" t="s">
        <v>435</v>
      </c>
      <c r="C47" s="41">
        <v>46122</v>
      </c>
      <c r="D47" s="42" t="s">
        <v>410</v>
      </c>
      <c r="E47" s="42" t="s">
        <v>411</v>
      </c>
      <c r="F47" s="43"/>
      <c r="G47" s="44">
        <v>46107</v>
      </c>
      <c r="H47" s="45" t="e">
        <f t="shared" si="0"/>
        <v>#N/A</v>
      </c>
      <c r="I47" s="46"/>
    </row>
    <row r="48" spans="1:10">
      <c r="A48" s="40" t="s">
        <v>434</v>
      </c>
      <c r="B48" s="40" t="s">
        <v>435</v>
      </c>
      <c r="C48" s="41">
        <v>46091</v>
      </c>
      <c r="D48" s="42" t="s">
        <v>410</v>
      </c>
      <c r="E48" s="42" t="s">
        <v>411</v>
      </c>
      <c r="F48" s="43"/>
      <c r="G48" s="44">
        <v>46079</v>
      </c>
      <c r="H48" s="45" t="e">
        <f t="shared" si="0"/>
        <v>#N/A</v>
      </c>
      <c r="I48" s="43"/>
    </row>
    <row r="49" spans="1:10">
      <c r="A49" s="40" t="s">
        <v>434</v>
      </c>
      <c r="B49" s="40" t="s">
        <v>435</v>
      </c>
      <c r="C49" s="41">
        <v>46063</v>
      </c>
      <c r="D49" s="42" t="s">
        <v>410</v>
      </c>
      <c r="E49" s="42" t="s">
        <v>411</v>
      </c>
      <c r="F49" s="47">
        <v>2239.33</v>
      </c>
      <c r="G49" s="44">
        <v>46048</v>
      </c>
      <c r="H49" s="45" t="e">
        <f t="shared" si="0"/>
        <v>#N/A</v>
      </c>
      <c r="I49" s="46">
        <v>46056.455682870372</v>
      </c>
    </row>
    <row r="50" spans="1:10">
      <c r="A50" s="40" t="s">
        <v>434</v>
      </c>
      <c r="B50" s="40" t="s">
        <v>435</v>
      </c>
      <c r="C50" s="41">
        <v>46032</v>
      </c>
      <c r="D50" s="42" t="s">
        <v>410</v>
      </c>
      <c r="E50" s="42" t="s">
        <v>411</v>
      </c>
      <c r="F50" s="47">
        <v>1720.06</v>
      </c>
      <c r="G50" s="44">
        <v>46381</v>
      </c>
      <c r="H50" s="45" t="e">
        <f t="shared" si="0"/>
        <v>#N/A</v>
      </c>
      <c r="I50" s="46">
        <v>46032.412222222221</v>
      </c>
    </row>
    <row r="51" spans="1:10">
      <c r="A51" s="40" t="s">
        <v>434</v>
      </c>
      <c r="B51" s="40" t="s">
        <v>435</v>
      </c>
      <c r="C51" s="41">
        <v>46001</v>
      </c>
      <c r="D51" s="42" t="s">
        <v>410</v>
      </c>
      <c r="E51" s="42" t="s">
        <v>411</v>
      </c>
      <c r="F51" s="47">
        <v>1238.42</v>
      </c>
      <c r="G51" s="44">
        <v>46351</v>
      </c>
      <c r="H51" s="45" t="e">
        <f t="shared" si="0"/>
        <v>#N/A</v>
      </c>
      <c r="I51" s="46">
        <v>46002.640138888892</v>
      </c>
    </row>
    <row r="52" spans="1:10">
      <c r="A52" s="40" t="s">
        <v>434</v>
      </c>
      <c r="B52" s="40" t="s">
        <v>435</v>
      </c>
      <c r="C52" s="41">
        <v>45971</v>
      </c>
      <c r="D52" s="42" t="s">
        <v>410</v>
      </c>
      <c r="E52" s="42" t="s">
        <v>411</v>
      </c>
      <c r="F52" s="47">
        <v>1291.6400000000001</v>
      </c>
      <c r="G52" s="44">
        <v>46320</v>
      </c>
      <c r="H52" s="45" t="e">
        <f t="shared" si="0"/>
        <v>#N/A</v>
      </c>
      <c r="I52" s="46">
        <v>45970.667488425926</v>
      </c>
      <c r="J52" s="40" t="s">
        <v>436</v>
      </c>
    </row>
    <row r="53" spans="1:10">
      <c r="A53" s="40" t="s">
        <v>434</v>
      </c>
      <c r="B53" s="40" t="s">
        <v>435</v>
      </c>
      <c r="C53" s="41">
        <v>45940</v>
      </c>
      <c r="D53" s="42" t="s">
        <v>410</v>
      </c>
      <c r="E53" s="42" t="s">
        <v>411</v>
      </c>
      <c r="F53" s="47">
        <v>1305.18</v>
      </c>
      <c r="G53" s="44">
        <v>46290</v>
      </c>
      <c r="H53" s="45" t="e">
        <f t="shared" si="0"/>
        <v>#N/A</v>
      </c>
      <c r="I53" s="46">
        <v>45970.660763888889</v>
      </c>
      <c r="J53" s="40" t="s">
        <v>437</v>
      </c>
    </row>
    <row r="54" spans="1:10">
      <c r="A54" s="40" t="s">
        <v>434</v>
      </c>
      <c r="B54" s="40" t="s">
        <v>435</v>
      </c>
      <c r="C54" s="41">
        <v>45910</v>
      </c>
      <c r="D54" s="42" t="s">
        <v>410</v>
      </c>
      <c r="E54" s="42" t="s">
        <v>411</v>
      </c>
      <c r="F54" s="47">
        <v>1270.3499999999999</v>
      </c>
      <c r="G54" s="44">
        <v>46259</v>
      </c>
      <c r="H54" s="45" t="e">
        <f t="shared" si="0"/>
        <v>#N/A</v>
      </c>
      <c r="I54" s="46">
        <v>45970.653449074074</v>
      </c>
      <c r="J54" s="40" t="s">
        <v>438</v>
      </c>
    </row>
    <row r="55" spans="1:10">
      <c r="A55" s="40" t="s">
        <v>434</v>
      </c>
      <c r="B55" s="40" t="s">
        <v>435</v>
      </c>
      <c r="C55" s="41">
        <v>45879</v>
      </c>
      <c r="D55" s="42" t="s">
        <v>410</v>
      </c>
      <c r="E55" s="42" t="s">
        <v>411</v>
      </c>
      <c r="F55" s="47">
        <v>1716.19</v>
      </c>
      <c r="G55" s="44">
        <v>46228</v>
      </c>
      <c r="H55" s="45" t="e">
        <f t="shared" si="0"/>
        <v>#N/A</v>
      </c>
      <c r="I55" s="46">
        <v>45970.646956018521</v>
      </c>
      <c r="J55" s="40" t="s">
        <v>439</v>
      </c>
    </row>
    <row r="56" spans="1:10">
      <c r="A56" s="40" t="s">
        <v>434</v>
      </c>
      <c r="B56" s="40" t="s">
        <v>435</v>
      </c>
      <c r="C56" s="41">
        <v>45848</v>
      </c>
      <c r="D56" s="42" t="s">
        <v>410</v>
      </c>
      <c r="E56" s="42" t="s">
        <v>411</v>
      </c>
      <c r="F56" s="47">
        <v>1220.78</v>
      </c>
      <c r="G56" s="44">
        <v>46198</v>
      </c>
      <c r="H56" s="45" t="e">
        <f t="shared" si="0"/>
        <v>#N/A</v>
      </c>
      <c r="I56" s="46">
        <v>45970.639178240737</v>
      </c>
      <c r="J56" s="40" t="s">
        <v>440</v>
      </c>
    </row>
    <row r="57" spans="1:10">
      <c r="A57" s="40" t="s">
        <v>434</v>
      </c>
      <c r="B57" s="40" t="s">
        <v>435</v>
      </c>
      <c r="C57" s="41">
        <v>45818</v>
      </c>
      <c r="D57" s="42" t="s">
        <v>410</v>
      </c>
      <c r="E57" s="42" t="s">
        <v>411</v>
      </c>
      <c r="F57" s="47">
        <v>1277.9100000000001</v>
      </c>
      <c r="G57" s="44">
        <v>46167</v>
      </c>
      <c r="H57" s="45" t="e">
        <f t="shared" si="0"/>
        <v>#N/A</v>
      </c>
      <c r="I57" s="46">
        <v>45970.567476851851</v>
      </c>
      <c r="J57" s="40" t="s">
        <v>441</v>
      </c>
    </row>
    <row r="58" spans="1:10">
      <c r="A58" s="40" t="s">
        <v>434</v>
      </c>
      <c r="B58" s="40" t="s">
        <v>435</v>
      </c>
      <c r="C58" s="41">
        <v>45787</v>
      </c>
      <c r="D58" s="42" t="s">
        <v>410</v>
      </c>
      <c r="E58" s="42" t="s">
        <v>411</v>
      </c>
      <c r="F58" s="47">
        <v>1343.93</v>
      </c>
      <c r="G58" s="44">
        <v>46137</v>
      </c>
      <c r="H58" s="45" t="e">
        <f t="shared" si="0"/>
        <v>#N/A</v>
      </c>
      <c r="I58" s="46">
        <v>45970.569872685184</v>
      </c>
      <c r="J58" s="40" t="s">
        <v>442</v>
      </c>
    </row>
    <row r="59" spans="1:10">
      <c r="A59" s="40" t="s">
        <v>434</v>
      </c>
      <c r="B59" s="40" t="s">
        <v>435</v>
      </c>
      <c r="C59" s="41">
        <v>45757</v>
      </c>
      <c r="D59" s="42" t="s">
        <v>410</v>
      </c>
      <c r="E59" s="42" t="s">
        <v>411</v>
      </c>
      <c r="F59" s="47">
        <v>1443.5</v>
      </c>
      <c r="G59" s="44">
        <v>46106</v>
      </c>
      <c r="H59" s="45" t="e">
        <f t="shared" si="0"/>
        <v>#N/A</v>
      </c>
      <c r="I59" s="46">
        <v>45938.708506944444</v>
      </c>
    </row>
    <row r="60" spans="1:10">
      <c r="A60" s="40" t="s">
        <v>434</v>
      </c>
      <c r="B60" s="40" t="s">
        <v>435</v>
      </c>
      <c r="C60" s="41">
        <v>45726</v>
      </c>
      <c r="D60" s="42" t="s">
        <v>410</v>
      </c>
      <c r="E60" s="42" t="s">
        <v>411</v>
      </c>
      <c r="F60" s="47">
        <v>1454.86</v>
      </c>
      <c r="G60" s="44">
        <v>46078</v>
      </c>
      <c r="H60" s="45" t="e">
        <f t="shared" si="0"/>
        <v>#N/A</v>
      </c>
      <c r="I60" s="46">
        <v>45938.708506944444</v>
      </c>
    </row>
    <row r="61" spans="1:10">
      <c r="A61" s="40" t="s">
        <v>434</v>
      </c>
      <c r="B61" s="40" t="s">
        <v>435</v>
      </c>
      <c r="C61" s="41">
        <v>45698</v>
      </c>
      <c r="D61" s="42" t="s">
        <v>410</v>
      </c>
      <c r="E61" s="42" t="s">
        <v>411</v>
      </c>
      <c r="F61" s="47">
        <v>2056.6999999999998</v>
      </c>
      <c r="G61" s="44">
        <v>46047</v>
      </c>
      <c r="H61" s="45" t="e">
        <f t="shared" si="0"/>
        <v>#N/A</v>
      </c>
      <c r="I61" s="46">
        <v>45938.708506944444</v>
      </c>
    </row>
    <row r="62" spans="1:10">
      <c r="A62" s="40" t="s">
        <v>443</v>
      </c>
      <c r="B62" s="40" t="s">
        <v>444</v>
      </c>
      <c r="C62" s="41">
        <v>46122</v>
      </c>
      <c r="D62" s="42" t="s">
        <v>410</v>
      </c>
      <c r="E62" s="42" t="s">
        <v>411</v>
      </c>
      <c r="F62" s="43"/>
      <c r="G62" s="44">
        <v>46107</v>
      </c>
      <c r="H62" s="45" t="e">
        <f t="shared" si="0"/>
        <v>#N/A</v>
      </c>
      <c r="I62" s="46"/>
    </row>
    <row r="63" spans="1:10">
      <c r="A63" s="40" t="s">
        <v>443</v>
      </c>
      <c r="B63" s="40" t="s">
        <v>444</v>
      </c>
      <c r="C63" s="41">
        <v>46091</v>
      </c>
      <c r="D63" s="42" t="s">
        <v>410</v>
      </c>
      <c r="E63" s="42" t="s">
        <v>411</v>
      </c>
      <c r="F63" s="43"/>
      <c r="G63" s="44">
        <v>46079</v>
      </c>
      <c r="H63" s="45" t="e">
        <f t="shared" si="0"/>
        <v>#N/A</v>
      </c>
      <c r="I63" s="43"/>
    </row>
    <row r="64" spans="1:10">
      <c r="A64" s="40" t="s">
        <v>443</v>
      </c>
      <c r="B64" s="40" t="s">
        <v>444</v>
      </c>
      <c r="C64" s="41">
        <v>46063</v>
      </c>
      <c r="D64" s="42" t="s">
        <v>410</v>
      </c>
      <c r="E64" s="42" t="s">
        <v>411</v>
      </c>
      <c r="F64" s="47">
        <v>15287484.24</v>
      </c>
      <c r="G64" s="44">
        <v>46048</v>
      </c>
      <c r="H64" s="45" t="e">
        <f t="shared" si="0"/>
        <v>#N/A</v>
      </c>
      <c r="I64" s="46">
        <v>46072.743356481478</v>
      </c>
      <c r="J64" s="40" t="s">
        <v>445</v>
      </c>
    </row>
    <row r="65" spans="1:10">
      <c r="A65" s="40" t="s">
        <v>443</v>
      </c>
      <c r="B65" s="40" t="s">
        <v>444</v>
      </c>
      <c r="C65" s="41">
        <v>46032</v>
      </c>
      <c r="D65" s="42" t="s">
        <v>410</v>
      </c>
      <c r="E65" s="42" t="s">
        <v>411</v>
      </c>
      <c r="F65" s="47">
        <v>11904707.6</v>
      </c>
      <c r="G65" s="44">
        <v>46381</v>
      </c>
      <c r="H65" s="45" t="e">
        <f t="shared" si="0"/>
        <v>#N/A</v>
      </c>
      <c r="I65" s="46">
        <v>46032.408368055556</v>
      </c>
    </row>
    <row r="66" spans="1:10">
      <c r="A66" s="40" t="s">
        <v>443</v>
      </c>
      <c r="B66" s="40" t="s">
        <v>444</v>
      </c>
      <c r="C66" s="41">
        <v>46001</v>
      </c>
      <c r="D66" s="42" t="s">
        <v>410</v>
      </c>
      <c r="E66" s="42" t="s">
        <v>411</v>
      </c>
      <c r="F66" s="47">
        <v>6749283.1200000001</v>
      </c>
      <c r="G66" s="44">
        <v>46351</v>
      </c>
      <c r="H66" s="45" t="e">
        <f t="shared" si="0"/>
        <v>#N/A</v>
      </c>
      <c r="I66" s="46">
        <v>46002.634641203702</v>
      </c>
    </row>
    <row r="67" spans="1:10">
      <c r="A67" s="40" t="s">
        <v>443</v>
      </c>
      <c r="B67" s="40" t="s">
        <v>444</v>
      </c>
      <c r="C67" s="41">
        <v>45971</v>
      </c>
      <c r="D67" s="42" t="s">
        <v>410</v>
      </c>
      <c r="E67" s="42" t="s">
        <v>411</v>
      </c>
      <c r="F67" s="47">
        <v>8201195.4100000001</v>
      </c>
      <c r="G67" s="44">
        <v>46320</v>
      </c>
      <c r="H67" s="45" t="e">
        <f t="shared" si="0"/>
        <v>#N/A</v>
      </c>
      <c r="I67" s="46">
        <v>45969.169537037036</v>
      </c>
      <c r="J67" s="40" t="s">
        <v>446</v>
      </c>
    </row>
    <row r="68" spans="1:10">
      <c r="A68" s="40" t="s">
        <v>443</v>
      </c>
      <c r="B68" s="40" t="s">
        <v>444</v>
      </c>
      <c r="C68" s="41">
        <v>45940</v>
      </c>
      <c r="D68" s="42" t="s">
        <v>410</v>
      </c>
      <c r="E68" s="42" t="s">
        <v>411</v>
      </c>
      <c r="F68" s="47">
        <v>7215911.6500000004</v>
      </c>
      <c r="G68" s="44">
        <v>46290</v>
      </c>
      <c r="H68" s="45" t="e">
        <f t="shared" si="0"/>
        <v>#N/A</v>
      </c>
      <c r="I68" s="46">
        <v>45969.170324074075</v>
      </c>
      <c r="J68" s="40" t="s">
        <v>447</v>
      </c>
    </row>
    <row r="69" spans="1:10">
      <c r="A69" s="40" t="s">
        <v>443</v>
      </c>
      <c r="B69" s="40" t="s">
        <v>444</v>
      </c>
      <c r="C69" s="41">
        <v>45910</v>
      </c>
      <c r="D69" s="42" t="s">
        <v>410</v>
      </c>
      <c r="E69" s="42" t="s">
        <v>411</v>
      </c>
      <c r="F69" s="47">
        <v>7587909.6500000004</v>
      </c>
      <c r="G69" s="44">
        <v>46259</v>
      </c>
      <c r="H69" s="45" t="e">
        <f t="shared" si="0"/>
        <v>#N/A</v>
      </c>
      <c r="I69" s="46">
        <v>45969.170972222222</v>
      </c>
      <c r="J69" s="40" t="s">
        <v>448</v>
      </c>
    </row>
    <row r="70" spans="1:10">
      <c r="A70" s="40" t="s">
        <v>443</v>
      </c>
      <c r="B70" s="40" t="s">
        <v>444</v>
      </c>
      <c r="C70" s="41">
        <v>45879</v>
      </c>
      <c r="D70" s="42" t="s">
        <v>410</v>
      </c>
      <c r="E70" s="42" t="s">
        <v>411</v>
      </c>
      <c r="F70" s="47">
        <v>9968439.4199999999</v>
      </c>
      <c r="G70" s="44">
        <v>46228</v>
      </c>
      <c r="H70" s="45" t="e">
        <f t="shared" si="0"/>
        <v>#N/A</v>
      </c>
      <c r="I70" s="46">
        <v>45969.171539351853</v>
      </c>
      <c r="J70" s="40" t="s">
        <v>449</v>
      </c>
    </row>
    <row r="71" spans="1:10">
      <c r="A71" s="40" t="s">
        <v>443</v>
      </c>
      <c r="B71" s="40" t="s">
        <v>444</v>
      </c>
      <c r="C71" s="41">
        <v>45848</v>
      </c>
      <c r="D71" s="42" t="s">
        <v>410</v>
      </c>
      <c r="E71" s="42" t="s">
        <v>411</v>
      </c>
      <c r="F71" s="47">
        <v>6949318.8099999996</v>
      </c>
      <c r="G71" s="44">
        <v>46198</v>
      </c>
      <c r="H71" s="45" t="e">
        <f t="shared" si="0"/>
        <v>#N/A</v>
      </c>
      <c r="I71" s="46">
        <v>45969.172303240739</v>
      </c>
      <c r="J71" s="40" t="s">
        <v>450</v>
      </c>
    </row>
    <row r="72" spans="1:10">
      <c r="A72" s="40" t="s">
        <v>443</v>
      </c>
      <c r="B72" s="40" t="s">
        <v>444</v>
      </c>
      <c r="C72" s="41">
        <v>45818</v>
      </c>
      <c r="D72" s="42" t="s">
        <v>410</v>
      </c>
      <c r="E72" s="42" t="s">
        <v>411</v>
      </c>
      <c r="F72" s="47">
        <v>7830826.75</v>
      </c>
      <c r="G72" s="44">
        <v>46167</v>
      </c>
      <c r="H72" s="45" t="e">
        <f t="shared" si="0"/>
        <v>#N/A</v>
      </c>
      <c r="I72" s="46">
        <v>45969.270810185182</v>
      </c>
      <c r="J72" s="40" t="s">
        <v>451</v>
      </c>
    </row>
    <row r="73" spans="1:10">
      <c r="A73" s="40" t="s">
        <v>443</v>
      </c>
      <c r="B73" s="40" t="s">
        <v>444</v>
      </c>
      <c r="C73" s="41">
        <v>45787</v>
      </c>
      <c r="D73" s="42" t="s">
        <v>410</v>
      </c>
      <c r="E73" s="42" t="s">
        <v>411</v>
      </c>
      <c r="F73" s="47">
        <v>7748970.8200000003</v>
      </c>
      <c r="G73" s="44">
        <v>46137</v>
      </c>
      <c r="H73" s="45" t="e">
        <f t="shared" si="0"/>
        <v>#N/A</v>
      </c>
      <c r="I73" s="46">
        <v>45969.270439814813</v>
      </c>
      <c r="J73" s="40" t="s">
        <v>452</v>
      </c>
    </row>
    <row r="74" spans="1:10">
      <c r="A74" s="40" t="s">
        <v>443</v>
      </c>
      <c r="B74" s="40" t="s">
        <v>444</v>
      </c>
      <c r="C74" s="41">
        <v>45757</v>
      </c>
      <c r="D74" s="42" t="s">
        <v>410</v>
      </c>
      <c r="E74" s="42" t="s">
        <v>411</v>
      </c>
      <c r="F74" s="47">
        <v>9491185.1699999999</v>
      </c>
      <c r="G74" s="44">
        <v>46106</v>
      </c>
      <c r="H74" s="45" t="e">
        <f t="shared" si="0"/>
        <v>#N/A</v>
      </c>
      <c r="I74" s="46">
        <v>45969.270138888889</v>
      </c>
      <c r="J74" s="40" t="s">
        <v>453</v>
      </c>
    </row>
    <row r="75" spans="1:10">
      <c r="A75" s="40" t="s">
        <v>443</v>
      </c>
      <c r="B75" s="40" t="s">
        <v>444</v>
      </c>
      <c r="C75" s="41">
        <v>45726</v>
      </c>
      <c r="D75" s="42" t="s">
        <v>410</v>
      </c>
      <c r="E75" s="42" t="s">
        <v>411</v>
      </c>
      <c r="F75" s="47">
        <v>8834424.3800000008</v>
      </c>
      <c r="G75" s="44">
        <v>46078</v>
      </c>
      <c r="H75" s="45" t="e">
        <f t="shared" si="0"/>
        <v>#N/A</v>
      </c>
      <c r="I75" s="46">
        <v>45969.263657407406</v>
      </c>
      <c r="J75" s="40" t="s">
        <v>454</v>
      </c>
    </row>
    <row r="76" spans="1:10">
      <c r="A76" s="40" t="s">
        <v>443</v>
      </c>
      <c r="B76" s="40" t="s">
        <v>444</v>
      </c>
      <c r="C76" s="41">
        <v>45698</v>
      </c>
      <c r="D76" s="42" t="s">
        <v>410</v>
      </c>
      <c r="E76" s="42" t="s">
        <v>411</v>
      </c>
      <c r="F76" s="47">
        <v>13789128.01</v>
      </c>
      <c r="G76" s="44">
        <v>46047</v>
      </c>
      <c r="H76" s="45" t="e">
        <f t="shared" si="0"/>
        <v>#N/A</v>
      </c>
      <c r="I76" s="46">
        <v>45969.263252314813</v>
      </c>
      <c r="J76" s="40" t="s">
        <v>455</v>
      </c>
    </row>
    <row r="77" spans="1:10">
      <c r="A77" s="40" t="s">
        <v>456</v>
      </c>
      <c r="B77" s="40" t="s">
        <v>457</v>
      </c>
      <c r="C77" s="41">
        <v>46122</v>
      </c>
      <c r="D77" s="42" t="s">
        <v>410</v>
      </c>
      <c r="E77" s="42" t="s">
        <v>411</v>
      </c>
      <c r="F77" s="43"/>
      <c r="G77" s="44">
        <v>46107</v>
      </c>
      <c r="H77" s="45" t="e">
        <f t="shared" si="0"/>
        <v>#N/A</v>
      </c>
      <c r="I77" s="46"/>
    </row>
    <row r="78" spans="1:10">
      <c r="A78" s="40" t="s">
        <v>456</v>
      </c>
      <c r="B78" s="40" t="s">
        <v>457</v>
      </c>
      <c r="C78" s="41">
        <v>46091</v>
      </c>
      <c r="D78" s="42" t="s">
        <v>410</v>
      </c>
      <c r="E78" s="42" t="s">
        <v>411</v>
      </c>
      <c r="F78" s="43"/>
      <c r="G78" s="44">
        <v>46079</v>
      </c>
      <c r="H78" s="45" t="e">
        <f t="shared" si="0"/>
        <v>#N/A</v>
      </c>
      <c r="I78" s="43"/>
    </row>
    <row r="79" spans="1:10">
      <c r="A79" s="40" t="s">
        <v>456</v>
      </c>
      <c r="B79" s="40" t="s">
        <v>457</v>
      </c>
      <c r="C79" s="41">
        <v>46063</v>
      </c>
      <c r="D79" s="42" t="s">
        <v>410</v>
      </c>
      <c r="E79" s="42" t="s">
        <v>411</v>
      </c>
      <c r="F79" s="47">
        <v>7749238.0999999996</v>
      </c>
      <c r="G79" s="44">
        <v>46048</v>
      </c>
      <c r="H79" s="45" t="e">
        <f t="shared" si="0"/>
        <v>#N/A</v>
      </c>
      <c r="I79" s="46">
        <v>46072.639791666668</v>
      </c>
      <c r="J79" s="40" t="s">
        <v>458</v>
      </c>
    </row>
    <row r="80" spans="1:10">
      <c r="A80" s="40" t="s">
        <v>456</v>
      </c>
      <c r="B80" s="40" t="s">
        <v>457</v>
      </c>
      <c r="C80" s="41">
        <v>46032</v>
      </c>
      <c r="D80" s="42" t="s">
        <v>410</v>
      </c>
      <c r="E80" s="42" t="s">
        <v>411</v>
      </c>
      <c r="F80" s="47">
        <v>7718428.3099999996</v>
      </c>
      <c r="G80" s="44">
        <v>46381</v>
      </c>
      <c r="H80" s="45" t="e">
        <f t="shared" si="0"/>
        <v>#N/A</v>
      </c>
      <c r="I80" s="46">
        <v>46032.421736111108</v>
      </c>
      <c r="J80" s="40" t="s">
        <v>459</v>
      </c>
    </row>
    <row r="81" spans="1:10">
      <c r="A81" s="40" t="s">
        <v>456</v>
      </c>
      <c r="B81" s="40" t="s">
        <v>457</v>
      </c>
      <c r="C81" s="41">
        <v>46001</v>
      </c>
      <c r="D81" s="42" t="s">
        <v>410</v>
      </c>
      <c r="E81" s="42" t="s">
        <v>411</v>
      </c>
      <c r="F81" s="47">
        <v>37202728.57</v>
      </c>
      <c r="G81" s="44">
        <v>46351</v>
      </c>
      <c r="H81" s="45" t="e">
        <f t="shared" si="0"/>
        <v>#N/A</v>
      </c>
      <c r="I81" s="46">
        <v>45993.68341435185</v>
      </c>
    </row>
    <row r="82" spans="1:10">
      <c r="A82" s="40" t="s">
        <v>456</v>
      </c>
      <c r="B82" s="40" t="s">
        <v>457</v>
      </c>
      <c r="C82" s="41">
        <v>45971</v>
      </c>
      <c r="D82" s="42" t="s">
        <v>410</v>
      </c>
      <c r="E82" s="42" t="s">
        <v>411</v>
      </c>
      <c r="F82" s="47">
        <v>7523956</v>
      </c>
      <c r="G82" s="44">
        <v>46320</v>
      </c>
      <c r="H82" s="45" t="e">
        <f t="shared" si="0"/>
        <v>#N/A</v>
      </c>
      <c r="I82" s="46">
        <v>45974.072858796295</v>
      </c>
      <c r="J82" s="40" t="s">
        <v>460</v>
      </c>
    </row>
    <row r="83" spans="1:10">
      <c r="A83" s="40" t="s">
        <v>456</v>
      </c>
      <c r="B83" s="40" t="s">
        <v>457</v>
      </c>
      <c r="C83" s="41">
        <v>45940</v>
      </c>
      <c r="D83" s="42" t="s">
        <v>410</v>
      </c>
      <c r="E83" s="42" t="s">
        <v>411</v>
      </c>
      <c r="F83" s="47">
        <v>8780793.5299999993</v>
      </c>
      <c r="G83" s="44">
        <v>46290</v>
      </c>
      <c r="H83" s="45" t="e">
        <f t="shared" si="0"/>
        <v>#N/A</v>
      </c>
      <c r="I83" s="46">
        <v>45974.071956018517</v>
      </c>
      <c r="J83" s="40" t="s">
        <v>461</v>
      </c>
    </row>
    <row r="84" spans="1:10">
      <c r="A84" s="40" t="s">
        <v>456</v>
      </c>
      <c r="B84" s="40" t="s">
        <v>457</v>
      </c>
      <c r="C84" s="41">
        <v>45910</v>
      </c>
      <c r="D84" s="42" t="s">
        <v>410</v>
      </c>
      <c r="E84" s="42" t="s">
        <v>411</v>
      </c>
      <c r="F84" s="47">
        <v>7276966.5599999996</v>
      </c>
      <c r="G84" s="44">
        <v>46259</v>
      </c>
      <c r="H84" s="45" t="e">
        <f t="shared" si="0"/>
        <v>#N/A</v>
      </c>
      <c r="I84" s="46">
        <v>45974.07104166667</v>
      </c>
      <c r="J84" s="40" t="s">
        <v>462</v>
      </c>
    </row>
    <row r="85" spans="1:10">
      <c r="A85" s="40" t="s">
        <v>456</v>
      </c>
      <c r="B85" s="40" t="s">
        <v>457</v>
      </c>
      <c r="C85" s="41">
        <v>45879</v>
      </c>
      <c r="D85" s="42" t="s">
        <v>410</v>
      </c>
      <c r="E85" s="42" t="s">
        <v>411</v>
      </c>
      <c r="F85" s="47">
        <v>6864729.71</v>
      </c>
      <c r="G85" s="44">
        <v>46228</v>
      </c>
      <c r="H85" s="45" t="e">
        <f t="shared" si="0"/>
        <v>#N/A</v>
      </c>
      <c r="I85" s="46">
        <v>45974.070196759261</v>
      </c>
      <c r="J85" s="40" t="s">
        <v>463</v>
      </c>
    </row>
    <row r="86" spans="1:10">
      <c r="A86" s="40" t="s">
        <v>456</v>
      </c>
      <c r="B86" s="40" t="s">
        <v>457</v>
      </c>
      <c r="C86" s="41">
        <v>45848</v>
      </c>
      <c r="D86" s="42" t="s">
        <v>410</v>
      </c>
      <c r="E86" s="42" t="s">
        <v>411</v>
      </c>
      <c r="F86" s="47">
        <v>5114947.09</v>
      </c>
      <c r="G86" s="44">
        <v>46198</v>
      </c>
      <c r="H86" s="45" t="e">
        <f t="shared" si="0"/>
        <v>#N/A</v>
      </c>
      <c r="I86" s="46">
        <v>45974.069027777776</v>
      </c>
      <c r="J86" s="40" t="s">
        <v>464</v>
      </c>
    </row>
    <row r="87" spans="1:10">
      <c r="A87" s="40" t="s">
        <v>456</v>
      </c>
      <c r="B87" s="40" t="s">
        <v>457</v>
      </c>
      <c r="C87" s="41">
        <v>45818</v>
      </c>
      <c r="D87" s="42" t="s">
        <v>410</v>
      </c>
      <c r="E87" s="42" t="s">
        <v>411</v>
      </c>
      <c r="F87" s="47">
        <v>7787747.5700000003</v>
      </c>
      <c r="G87" s="44">
        <v>46167</v>
      </c>
      <c r="H87" s="45" t="e">
        <f t="shared" si="0"/>
        <v>#N/A</v>
      </c>
      <c r="I87" s="46">
        <v>45974.068194444444</v>
      </c>
      <c r="J87" s="40" t="s">
        <v>465</v>
      </c>
    </row>
    <row r="88" spans="1:10">
      <c r="A88" s="40" t="s">
        <v>456</v>
      </c>
      <c r="B88" s="40" t="s">
        <v>457</v>
      </c>
      <c r="C88" s="41">
        <v>45787</v>
      </c>
      <c r="D88" s="42" t="s">
        <v>410</v>
      </c>
      <c r="E88" s="42" t="s">
        <v>411</v>
      </c>
      <c r="F88" s="47">
        <v>7195709.5300000003</v>
      </c>
      <c r="G88" s="44">
        <v>46137</v>
      </c>
      <c r="H88" s="45" t="e">
        <f t="shared" si="0"/>
        <v>#N/A</v>
      </c>
      <c r="I88" s="46">
        <v>45974.067557870374</v>
      </c>
      <c r="J88" s="40" t="s">
        <v>466</v>
      </c>
    </row>
    <row r="89" spans="1:10">
      <c r="A89" s="40" t="s">
        <v>456</v>
      </c>
      <c r="B89" s="40" t="s">
        <v>457</v>
      </c>
      <c r="C89" s="41">
        <v>45757</v>
      </c>
      <c r="D89" s="42" t="s">
        <v>410</v>
      </c>
      <c r="E89" s="42" t="s">
        <v>411</v>
      </c>
      <c r="F89" s="47">
        <v>13372719.710000001</v>
      </c>
      <c r="G89" s="44">
        <v>46106</v>
      </c>
      <c r="H89" s="45" t="e">
        <f t="shared" si="0"/>
        <v>#N/A</v>
      </c>
      <c r="I89" s="46">
        <v>45974.066828703704</v>
      </c>
      <c r="J89" s="40" t="s">
        <v>467</v>
      </c>
    </row>
    <row r="90" spans="1:10">
      <c r="A90" s="40" t="s">
        <v>456</v>
      </c>
      <c r="B90" s="40" t="s">
        <v>457</v>
      </c>
      <c r="C90" s="41">
        <v>45726</v>
      </c>
      <c r="D90" s="42" t="s">
        <v>410</v>
      </c>
      <c r="E90" s="42" t="s">
        <v>411</v>
      </c>
      <c r="F90" s="47">
        <v>7587493.5899999999</v>
      </c>
      <c r="G90" s="44">
        <v>46078</v>
      </c>
      <c r="H90" s="45" t="e">
        <f t="shared" si="0"/>
        <v>#N/A</v>
      </c>
      <c r="I90" s="46">
        <v>45974.066018518519</v>
      </c>
      <c r="J90" s="40" t="s">
        <v>468</v>
      </c>
    </row>
    <row r="91" spans="1:10">
      <c r="A91" s="40" t="s">
        <v>456</v>
      </c>
      <c r="B91" s="40" t="s">
        <v>457</v>
      </c>
      <c r="C91" s="41">
        <v>45698</v>
      </c>
      <c r="D91" s="42" t="s">
        <v>410</v>
      </c>
      <c r="E91" s="42" t="s">
        <v>411</v>
      </c>
      <c r="F91" s="47">
        <v>7857913.8200000003</v>
      </c>
      <c r="G91" s="44">
        <v>46047</v>
      </c>
      <c r="H91" s="45" t="e">
        <f t="shared" si="0"/>
        <v>#N/A</v>
      </c>
      <c r="I91" s="46">
        <v>45974.057395833333</v>
      </c>
      <c r="J91" s="40" t="s">
        <v>469</v>
      </c>
    </row>
    <row r="92" spans="1:10">
      <c r="A92" s="40" t="s">
        <v>470</v>
      </c>
      <c r="B92" s="40" t="s">
        <v>471</v>
      </c>
      <c r="C92" s="41">
        <v>46122</v>
      </c>
      <c r="D92" s="42" t="s">
        <v>410</v>
      </c>
      <c r="E92" s="42" t="s">
        <v>411</v>
      </c>
      <c r="F92" s="43"/>
      <c r="G92" s="44">
        <v>46107</v>
      </c>
      <c r="H92" s="45" t="e">
        <f t="shared" si="0"/>
        <v>#N/A</v>
      </c>
      <c r="I92" s="46"/>
    </row>
    <row r="93" spans="1:10">
      <c r="A93" s="40" t="s">
        <v>470</v>
      </c>
      <c r="B93" s="40" t="s">
        <v>471</v>
      </c>
      <c r="C93" s="41">
        <v>46091</v>
      </c>
      <c r="D93" s="42" t="s">
        <v>410</v>
      </c>
      <c r="E93" s="42" t="s">
        <v>411</v>
      </c>
      <c r="F93" s="43"/>
      <c r="G93" s="44">
        <v>46079</v>
      </c>
      <c r="H93" s="45" t="e">
        <f t="shared" si="0"/>
        <v>#N/A</v>
      </c>
      <c r="I93" s="43"/>
    </row>
    <row r="94" spans="1:10">
      <c r="A94" s="40" t="s">
        <v>470</v>
      </c>
      <c r="B94" s="40" t="s">
        <v>471</v>
      </c>
      <c r="C94" s="41">
        <v>46063</v>
      </c>
      <c r="D94" s="42" t="s">
        <v>410</v>
      </c>
      <c r="E94" s="42" t="s">
        <v>411</v>
      </c>
      <c r="F94" s="47">
        <v>9673685.1400000006</v>
      </c>
      <c r="G94" s="44">
        <v>46048</v>
      </c>
      <c r="H94" s="45" t="e">
        <f t="shared" si="0"/>
        <v>#N/A</v>
      </c>
      <c r="I94" s="46">
        <v>46055.728194444448</v>
      </c>
    </row>
    <row r="95" spans="1:10">
      <c r="A95" s="40" t="s">
        <v>470</v>
      </c>
      <c r="B95" s="40" t="s">
        <v>471</v>
      </c>
      <c r="C95" s="41">
        <v>46032</v>
      </c>
      <c r="D95" s="42" t="s">
        <v>410</v>
      </c>
      <c r="E95" s="42" t="s">
        <v>411</v>
      </c>
      <c r="F95" s="47">
        <v>7063871.4100000001</v>
      </c>
      <c r="G95" s="44">
        <v>46381</v>
      </c>
      <c r="H95" s="45" t="e">
        <f t="shared" si="0"/>
        <v>#N/A</v>
      </c>
      <c r="I95" s="46">
        <v>46032.416863425926</v>
      </c>
    </row>
    <row r="96" spans="1:10">
      <c r="A96" s="40" t="s">
        <v>470</v>
      </c>
      <c r="B96" s="40" t="s">
        <v>471</v>
      </c>
      <c r="C96" s="41">
        <v>46001</v>
      </c>
      <c r="D96" s="42" t="s">
        <v>410</v>
      </c>
      <c r="E96" s="42" t="s">
        <v>411</v>
      </c>
      <c r="F96" s="47">
        <v>4357797.18</v>
      </c>
      <c r="G96" s="44">
        <v>46351</v>
      </c>
      <c r="H96" s="45" t="e">
        <f t="shared" si="0"/>
        <v>#N/A</v>
      </c>
      <c r="I96" s="46">
        <v>45995.73809027778</v>
      </c>
    </row>
    <row r="97" spans="1:9">
      <c r="A97" s="40" t="s">
        <v>470</v>
      </c>
      <c r="B97" s="40" t="s">
        <v>471</v>
      </c>
      <c r="C97" s="41">
        <v>45971</v>
      </c>
      <c r="D97" s="42" t="s">
        <v>410</v>
      </c>
      <c r="E97" s="42" t="s">
        <v>411</v>
      </c>
      <c r="F97" s="47">
        <v>4762635.5999999996</v>
      </c>
      <c r="G97" s="44">
        <v>46320</v>
      </c>
      <c r="H97" s="45" t="e">
        <f t="shared" si="0"/>
        <v>#N/A</v>
      </c>
      <c r="I97" s="46">
        <v>45970.665810185186</v>
      </c>
    </row>
    <row r="98" spans="1:9">
      <c r="A98" s="40" t="s">
        <v>470</v>
      </c>
      <c r="B98" s="40" t="s">
        <v>471</v>
      </c>
      <c r="C98" s="41">
        <v>45940</v>
      </c>
      <c r="D98" s="42" t="s">
        <v>410</v>
      </c>
      <c r="E98" s="42" t="s">
        <v>411</v>
      </c>
      <c r="F98" s="47">
        <v>4512711.6100000003</v>
      </c>
      <c r="G98" s="44">
        <v>46290</v>
      </c>
      <c r="H98" s="45" t="e">
        <f t="shared" si="0"/>
        <v>#N/A</v>
      </c>
      <c r="I98" s="46">
        <v>45970.659444444442</v>
      </c>
    </row>
    <row r="99" spans="1:9">
      <c r="A99" s="40" t="s">
        <v>470</v>
      </c>
      <c r="B99" s="40" t="s">
        <v>471</v>
      </c>
      <c r="C99" s="41">
        <v>45910</v>
      </c>
      <c r="D99" s="42" t="s">
        <v>410</v>
      </c>
      <c r="E99" s="42" t="s">
        <v>411</v>
      </c>
      <c r="F99" s="47">
        <v>4868810.2699999996</v>
      </c>
      <c r="G99" s="44">
        <v>46259</v>
      </c>
      <c r="H99" s="45" t="e">
        <f t="shared" si="0"/>
        <v>#N/A</v>
      </c>
      <c r="I99" s="46">
        <v>45938.712743055556</v>
      </c>
    </row>
    <row r="100" spans="1:9">
      <c r="A100" s="40" t="s">
        <v>470</v>
      </c>
      <c r="B100" s="40" t="s">
        <v>471</v>
      </c>
      <c r="C100" s="41">
        <v>45879</v>
      </c>
      <c r="D100" s="42" t="s">
        <v>410</v>
      </c>
      <c r="E100" s="42" t="s">
        <v>411</v>
      </c>
      <c r="F100" s="47">
        <v>6470923.6500000004</v>
      </c>
      <c r="G100" s="44">
        <v>46228</v>
      </c>
      <c r="H100" s="45" t="e">
        <f t="shared" si="0"/>
        <v>#N/A</v>
      </c>
      <c r="I100" s="46">
        <v>45938.712743055556</v>
      </c>
    </row>
    <row r="101" spans="1:9">
      <c r="A101" s="40" t="s">
        <v>470</v>
      </c>
      <c r="B101" s="40" t="s">
        <v>471</v>
      </c>
      <c r="C101" s="41">
        <v>45848</v>
      </c>
      <c r="D101" s="42" t="s">
        <v>410</v>
      </c>
      <c r="E101" s="42" t="s">
        <v>411</v>
      </c>
      <c r="F101" s="47">
        <v>4324390.45</v>
      </c>
      <c r="G101" s="44">
        <v>46198</v>
      </c>
      <c r="H101" s="45" t="e">
        <f t="shared" si="0"/>
        <v>#N/A</v>
      </c>
      <c r="I101" s="46">
        <v>45938.712743055556</v>
      </c>
    </row>
    <row r="102" spans="1:9">
      <c r="A102" s="40" t="s">
        <v>470</v>
      </c>
      <c r="B102" s="40" t="s">
        <v>471</v>
      </c>
      <c r="C102" s="41">
        <v>45818</v>
      </c>
      <c r="D102" s="42" t="s">
        <v>410</v>
      </c>
      <c r="E102" s="42" t="s">
        <v>411</v>
      </c>
      <c r="F102" s="47">
        <v>3740570.09</v>
      </c>
      <c r="G102" s="44">
        <v>46167</v>
      </c>
      <c r="H102" s="45" t="e">
        <f t="shared" si="0"/>
        <v>#N/A</v>
      </c>
      <c r="I102" s="46">
        <v>45969.709444444445</v>
      </c>
    </row>
    <row r="103" spans="1:9">
      <c r="A103" s="40" t="s">
        <v>470</v>
      </c>
      <c r="B103" s="40" t="s">
        <v>471</v>
      </c>
      <c r="C103" s="41">
        <v>45787</v>
      </c>
      <c r="D103" s="42" t="s">
        <v>410</v>
      </c>
      <c r="E103" s="42" t="s">
        <v>411</v>
      </c>
      <c r="F103" s="47">
        <v>4838128.74</v>
      </c>
      <c r="G103" s="44">
        <v>46137</v>
      </c>
      <c r="H103" s="45" t="e">
        <f t="shared" si="0"/>
        <v>#N/A</v>
      </c>
      <c r="I103" s="46">
        <v>45938.712743055556</v>
      </c>
    </row>
    <row r="104" spans="1:9">
      <c r="A104" s="40" t="s">
        <v>470</v>
      </c>
      <c r="B104" s="40" t="s">
        <v>471</v>
      </c>
      <c r="C104" s="41">
        <v>45757</v>
      </c>
      <c r="D104" s="42" t="s">
        <v>410</v>
      </c>
      <c r="E104" s="42" t="s">
        <v>411</v>
      </c>
      <c r="F104" s="47">
        <v>5641180.7300000004</v>
      </c>
      <c r="G104" s="44">
        <v>46106</v>
      </c>
      <c r="H104" s="45" t="e">
        <f t="shared" si="0"/>
        <v>#N/A</v>
      </c>
      <c r="I104" s="46">
        <v>45938.712743055556</v>
      </c>
    </row>
    <row r="105" spans="1:9">
      <c r="A105" s="40" t="s">
        <v>470</v>
      </c>
      <c r="B105" s="40" t="s">
        <v>471</v>
      </c>
      <c r="C105" s="41">
        <v>45726</v>
      </c>
      <c r="D105" s="42" t="s">
        <v>410</v>
      </c>
      <c r="E105" s="42" t="s">
        <v>411</v>
      </c>
      <c r="F105" s="47">
        <v>5565426.3600000003</v>
      </c>
      <c r="G105" s="44">
        <v>46078</v>
      </c>
      <c r="H105" s="45" t="e">
        <f t="shared" si="0"/>
        <v>#N/A</v>
      </c>
      <c r="I105" s="46">
        <v>45938.712743055556</v>
      </c>
    </row>
    <row r="106" spans="1:9">
      <c r="A106" s="40" t="s">
        <v>470</v>
      </c>
      <c r="B106" s="40" t="s">
        <v>471</v>
      </c>
      <c r="C106" s="41">
        <v>45698</v>
      </c>
      <c r="D106" s="42" t="s">
        <v>410</v>
      </c>
      <c r="E106" s="42" t="s">
        <v>411</v>
      </c>
      <c r="F106" s="47">
        <v>8651336.3000000007</v>
      </c>
      <c r="G106" s="44">
        <v>46047</v>
      </c>
      <c r="H106" s="45" t="e">
        <f t="shared" si="0"/>
        <v>#N/A</v>
      </c>
      <c r="I106" s="46">
        <v>45970.149884259263</v>
      </c>
    </row>
    <row r="107" spans="1:9">
      <c r="A107" s="40" t="s">
        <v>472</v>
      </c>
      <c r="B107" s="40" t="s">
        <v>473</v>
      </c>
      <c r="C107" s="41">
        <v>46122</v>
      </c>
      <c r="D107" s="42" t="s">
        <v>410</v>
      </c>
      <c r="E107" s="42" t="s">
        <v>411</v>
      </c>
      <c r="F107" s="43"/>
      <c r="G107" s="44">
        <v>46107</v>
      </c>
      <c r="H107" s="45" t="e">
        <f t="shared" si="0"/>
        <v>#N/A</v>
      </c>
      <c r="I107" s="46"/>
    </row>
    <row r="108" spans="1:9">
      <c r="A108" s="40" t="s">
        <v>472</v>
      </c>
      <c r="B108" s="40" t="s">
        <v>473</v>
      </c>
      <c r="C108" s="41">
        <v>46091</v>
      </c>
      <c r="D108" s="42" t="s">
        <v>410</v>
      </c>
      <c r="E108" s="42" t="s">
        <v>411</v>
      </c>
      <c r="F108" s="43"/>
      <c r="G108" s="44">
        <v>46079</v>
      </c>
      <c r="H108" s="45" t="e">
        <f t="shared" si="0"/>
        <v>#N/A</v>
      </c>
      <c r="I108" s="43"/>
    </row>
    <row r="109" spans="1:9">
      <c r="A109" s="40" t="s">
        <v>472</v>
      </c>
      <c r="B109" s="40" t="s">
        <v>473</v>
      </c>
      <c r="C109" s="41">
        <v>46063</v>
      </c>
      <c r="D109" s="42" t="s">
        <v>410</v>
      </c>
      <c r="E109" s="42" t="s">
        <v>411</v>
      </c>
      <c r="F109" s="47">
        <v>5746966.8300000001</v>
      </c>
      <c r="G109" s="44">
        <v>46048</v>
      </c>
      <c r="H109" s="45" t="e">
        <f t="shared" si="0"/>
        <v>#N/A</v>
      </c>
      <c r="I109" s="46">
        <v>46056.444444444445</v>
      </c>
    </row>
    <row r="110" spans="1:9">
      <c r="A110" s="40" t="s">
        <v>472</v>
      </c>
      <c r="B110" s="40" t="s">
        <v>473</v>
      </c>
      <c r="C110" s="41">
        <v>46032</v>
      </c>
      <c r="D110" s="42" t="s">
        <v>410</v>
      </c>
      <c r="E110" s="42" t="s">
        <v>411</v>
      </c>
      <c r="F110" s="47">
        <v>5369353.54</v>
      </c>
      <c r="G110" s="44">
        <v>46381</v>
      </c>
      <c r="H110" s="45" t="e">
        <f t="shared" si="0"/>
        <v>#N/A</v>
      </c>
      <c r="I110" s="46">
        <v>46032.418807870374</v>
      </c>
    </row>
    <row r="111" spans="1:9">
      <c r="A111" s="40" t="s">
        <v>472</v>
      </c>
      <c r="B111" s="40" t="s">
        <v>473</v>
      </c>
      <c r="C111" s="41">
        <v>46001</v>
      </c>
      <c r="D111" s="42" t="s">
        <v>410</v>
      </c>
      <c r="E111" s="42" t="s">
        <v>411</v>
      </c>
      <c r="F111" s="47">
        <v>25522569.390000001</v>
      </c>
      <c r="G111" s="44">
        <v>46351</v>
      </c>
      <c r="H111" s="45" t="e">
        <f t="shared" si="0"/>
        <v>#N/A</v>
      </c>
      <c r="I111" s="46">
        <v>45993.683923611112</v>
      </c>
    </row>
    <row r="112" spans="1:9">
      <c r="A112" s="40" t="s">
        <v>472</v>
      </c>
      <c r="B112" s="40" t="s">
        <v>473</v>
      </c>
      <c r="C112" s="41">
        <v>45971</v>
      </c>
      <c r="D112" s="42" t="s">
        <v>410</v>
      </c>
      <c r="E112" s="42" t="s">
        <v>411</v>
      </c>
      <c r="F112" s="47">
        <v>5543136.4699999997</v>
      </c>
      <c r="G112" s="44">
        <v>46320</v>
      </c>
      <c r="H112" s="45" t="e">
        <f t="shared" si="0"/>
        <v>#N/A</v>
      </c>
      <c r="I112" s="46">
        <v>45974.648055555554</v>
      </c>
    </row>
    <row r="113" spans="1:9">
      <c r="A113" s="40" t="s">
        <v>472</v>
      </c>
      <c r="B113" s="40" t="s">
        <v>473</v>
      </c>
      <c r="C113" s="41">
        <v>45940</v>
      </c>
      <c r="D113" s="42" t="s">
        <v>410</v>
      </c>
      <c r="E113" s="42" t="s">
        <v>411</v>
      </c>
      <c r="F113" s="47">
        <v>6638330.96</v>
      </c>
      <c r="G113" s="44">
        <v>46290</v>
      </c>
      <c r="H113" s="45" t="e">
        <f t="shared" si="0"/>
        <v>#N/A</v>
      </c>
      <c r="I113" s="46">
        <v>45974.643831018519</v>
      </c>
    </row>
    <row r="114" spans="1:9">
      <c r="A114" s="40" t="s">
        <v>472</v>
      </c>
      <c r="B114" s="40" t="s">
        <v>473</v>
      </c>
      <c r="C114" s="41">
        <v>45910</v>
      </c>
      <c r="D114" s="42" t="s">
        <v>410</v>
      </c>
      <c r="E114" s="42" t="s">
        <v>411</v>
      </c>
      <c r="F114" s="47">
        <v>5338123.25</v>
      </c>
      <c r="G114" s="44">
        <v>46259</v>
      </c>
      <c r="H114" s="45" t="e">
        <f t="shared" si="0"/>
        <v>#N/A</v>
      </c>
      <c r="I114" s="46">
        <v>45974.639016203706</v>
      </c>
    </row>
    <row r="115" spans="1:9">
      <c r="A115" s="40" t="s">
        <v>472</v>
      </c>
      <c r="B115" s="40" t="s">
        <v>473</v>
      </c>
      <c r="C115" s="41">
        <v>45879</v>
      </c>
      <c r="D115" s="42" t="s">
        <v>410</v>
      </c>
      <c r="E115" s="42" t="s">
        <v>411</v>
      </c>
      <c r="F115" s="47">
        <v>4963443.6399999997</v>
      </c>
      <c r="G115" s="44">
        <v>46228</v>
      </c>
      <c r="H115" s="45" t="e">
        <f t="shared" si="0"/>
        <v>#N/A</v>
      </c>
      <c r="I115" s="46">
        <v>45974.631620370368</v>
      </c>
    </row>
    <row r="116" spans="1:9">
      <c r="A116" s="40" t="s">
        <v>472</v>
      </c>
      <c r="B116" s="40" t="s">
        <v>473</v>
      </c>
      <c r="C116" s="41">
        <v>45848</v>
      </c>
      <c r="D116" s="42" t="s">
        <v>410</v>
      </c>
      <c r="E116" s="42" t="s">
        <v>411</v>
      </c>
      <c r="F116" s="47">
        <v>3837083.39</v>
      </c>
      <c r="G116" s="44">
        <v>46198</v>
      </c>
      <c r="H116" s="45" t="e">
        <f t="shared" si="0"/>
        <v>#N/A</v>
      </c>
      <c r="I116" s="46">
        <v>45974.631030092591</v>
      </c>
    </row>
    <row r="117" spans="1:9">
      <c r="A117" s="40" t="s">
        <v>472</v>
      </c>
      <c r="B117" s="40" t="s">
        <v>473</v>
      </c>
      <c r="C117" s="41">
        <v>45818</v>
      </c>
      <c r="D117" s="42" t="s">
        <v>410</v>
      </c>
      <c r="E117" s="42" t="s">
        <v>411</v>
      </c>
      <c r="F117" s="47">
        <v>5345561.91</v>
      </c>
      <c r="G117" s="44">
        <v>46167</v>
      </c>
      <c r="H117" s="45" t="e">
        <f t="shared" si="0"/>
        <v>#N/A</v>
      </c>
      <c r="I117" s="46">
        <v>45974.62771990741</v>
      </c>
    </row>
    <row r="118" spans="1:9">
      <c r="A118" s="40" t="s">
        <v>472</v>
      </c>
      <c r="B118" s="40" t="s">
        <v>473</v>
      </c>
      <c r="C118" s="41">
        <v>45787</v>
      </c>
      <c r="D118" s="42" t="s">
        <v>410</v>
      </c>
      <c r="E118" s="42" t="s">
        <v>411</v>
      </c>
      <c r="F118" s="47">
        <v>4827089.63</v>
      </c>
      <c r="G118" s="44">
        <v>46137</v>
      </c>
      <c r="H118" s="45" t="e">
        <f t="shared" si="0"/>
        <v>#N/A</v>
      </c>
      <c r="I118" s="46">
        <v>45974.608229166668</v>
      </c>
    </row>
    <row r="119" spans="1:9">
      <c r="A119" s="40" t="s">
        <v>472</v>
      </c>
      <c r="B119" s="40" t="s">
        <v>473</v>
      </c>
      <c r="C119" s="41">
        <v>45757</v>
      </c>
      <c r="D119" s="42" t="s">
        <v>410</v>
      </c>
      <c r="E119" s="42" t="s">
        <v>411</v>
      </c>
      <c r="F119" s="47">
        <v>9672792.0500000007</v>
      </c>
      <c r="G119" s="44">
        <v>46106</v>
      </c>
      <c r="H119" s="45" t="e">
        <f t="shared" si="0"/>
        <v>#N/A</v>
      </c>
      <c r="I119" s="46">
        <v>45974.602175925924</v>
      </c>
    </row>
    <row r="120" spans="1:9">
      <c r="A120" s="40" t="s">
        <v>472</v>
      </c>
      <c r="B120" s="40" t="s">
        <v>473</v>
      </c>
      <c r="C120" s="41">
        <v>45726</v>
      </c>
      <c r="D120" s="42" t="s">
        <v>410</v>
      </c>
      <c r="E120" s="42" t="s">
        <v>411</v>
      </c>
      <c r="F120" s="47">
        <v>5646569.8200000003</v>
      </c>
      <c r="G120" s="44">
        <v>46078</v>
      </c>
      <c r="H120" s="45" t="e">
        <f t="shared" si="0"/>
        <v>#N/A</v>
      </c>
      <c r="I120" s="46">
        <v>45974.599351851852</v>
      </c>
    </row>
    <row r="121" spans="1:9">
      <c r="A121" s="40" t="s">
        <v>472</v>
      </c>
      <c r="B121" s="40" t="s">
        <v>473</v>
      </c>
      <c r="C121" s="41">
        <v>45698</v>
      </c>
      <c r="D121" s="42" t="s">
        <v>410</v>
      </c>
      <c r="E121" s="42" t="s">
        <v>411</v>
      </c>
      <c r="F121" s="47">
        <v>4942242.7699999996</v>
      </c>
      <c r="G121" s="44">
        <v>46047</v>
      </c>
      <c r="H121" s="45" t="e">
        <f t="shared" si="0"/>
        <v>#N/A</v>
      </c>
      <c r="I121" s="46">
        <v>45974.593124999999</v>
      </c>
    </row>
    <row r="122" spans="1:9">
      <c r="A122" s="40" t="s">
        <v>474</v>
      </c>
      <c r="B122" s="40" t="s">
        <v>475</v>
      </c>
      <c r="C122" s="41">
        <v>46117</v>
      </c>
      <c r="D122" s="42" t="s">
        <v>476</v>
      </c>
      <c r="E122" s="42" t="s">
        <v>411</v>
      </c>
      <c r="F122" s="43"/>
      <c r="G122" s="44">
        <v>46107</v>
      </c>
      <c r="H122" s="45" t="e">
        <f t="shared" si="0"/>
        <v>#N/A</v>
      </c>
      <c r="I122" s="46"/>
    </row>
    <row r="123" spans="1:9">
      <c r="A123" s="40" t="s">
        <v>474</v>
      </c>
      <c r="B123" s="40" t="s">
        <v>475</v>
      </c>
      <c r="C123" s="41">
        <v>46086</v>
      </c>
      <c r="D123" s="42" t="s">
        <v>476</v>
      </c>
      <c r="E123" s="42" t="s">
        <v>411</v>
      </c>
      <c r="F123" s="43"/>
      <c r="G123" s="44">
        <v>46079</v>
      </c>
      <c r="H123" s="45" t="e">
        <f t="shared" si="0"/>
        <v>#N/A</v>
      </c>
      <c r="I123" s="43"/>
    </row>
    <row r="124" spans="1:9">
      <c r="A124" s="40" t="s">
        <v>474</v>
      </c>
      <c r="B124" s="40" t="s">
        <v>475</v>
      </c>
      <c r="C124" s="41">
        <v>46058</v>
      </c>
      <c r="D124" s="42" t="s">
        <v>476</v>
      </c>
      <c r="E124" s="42" t="s">
        <v>411</v>
      </c>
      <c r="F124" s="47">
        <v>7.8</v>
      </c>
      <c r="G124" s="44">
        <v>46048</v>
      </c>
      <c r="H124" s="45" t="e">
        <f t="shared" si="0"/>
        <v>#N/A</v>
      </c>
      <c r="I124" s="46">
        <v>46057.547256944446</v>
      </c>
    </row>
    <row r="125" spans="1:9">
      <c r="A125" s="40" t="s">
        <v>474</v>
      </c>
      <c r="B125" s="40" t="s">
        <v>475</v>
      </c>
      <c r="C125" s="41">
        <v>46027</v>
      </c>
      <c r="D125" s="42" t="s">
        <v>476</v>
      </c>
      <c r="E125" s="42" t="s">
        <v>411</v>
      </c>
      <c r="F125" s="47">
        <v>6.23</v>
      </c>
      <c r="G125" s="44">
        <v>46381</v>
      </c>
      <c r="H125" s="45" t="e">
        <f t="shared" si="0"/>
        <v>#N/A</v>
      </c>
      <c r="I125" s="46">
        <v>46028.615104166667</v>
      </c>
    </row>
    <row r="126" spans="1:9">
      <c r="A126" s="40" t="s">
        <v>474</v>
      </c>
      <c r="B126" s="40" t="s">
        <v>475</v>
      </c>
      <c r="C126" s="41">
        <v>45996</v>
      </c>
      <c r="D126" s="42" t="s">
        <v>476</v>
      </c>
      <c r="E126" s="42" t="s">
        <v>411</v>
      </c>
      <c r="F126" s="47">
        <v>5.25</v>
      </c>
      <c r="G126" s="44">
        <v>46351</v>
      </c>
      <c r="H126" s="45" t="e">
        <f t="shared" si="0"/>
        <v>#N/A</v>
      </c>
      <c r="I126" s="46">
        <v>46002.626284722224</v>
      </c>
    </row>
    <row r="127" spans="1:9">
      <c r="A127" s="40" t="s">
        <v>474</v>
      </c>
      <c r="B127" s="40" t="s">
        <v>475</v>
      </c>
      <c r="C127" s="41">
        <v>45966</v>
      </c>
      <c r="D127" s="42" t="s">
        <v>476</v>
      </c>
      <c r="E127" s="42" t="s">
        <v>411</v>
      </c>
      <c r="F127" s="47">
        <v>8.39</v>
      </c>
      <c r="G127" s="44">
        <v>46320</v>
      </c>
      <c r="H127" s="45" t="e">
        <f t="shared" si="0"/>
        <v>#N/A</v>
      </c>
      <c r="I127" s="46">
        <v>45971.769155092596</v>
      </c>
    </row>
    <row r="128" spans="1:9">
      <c r="A128" s="40" t="s">
        <v>474</v>
      </c>
      <c r="B128" s="40" t="s">
        <v>475</v>
      </c>
      <c r="C128" s="41">
        <v>45935</v>
      </c>
      <c r="D128" s="42" t="s">
        <v>476</v>
      </c>
      <c r="E128" s="42" t="s">
        <v>411</v>
      </c>
      <c r="F128" s="47">
        <v>7.23</v>
      </c>
      <c r="G128" s="44">
        <v>46290</v>
      </c>
      <c r="H128" s="45" t="e">
        <f t="shared" si="0"/>
        <v>#N/A</v>
      </c>
      <c r="I128" s="46">
        <v>45971.769085648149</v>
      </c>
    </row>
    <row r="129" spans="1:9">
      <c r="A129" s="40" t="s">
        <v>474</v>
      </c>
      <c r="B129" s="40" t="s">
        <v>475</v>
      </c>
      <c r="C129" s="41">
        <v>45905</v>
      </c>
      <c r="D129" s="42" t="s">
        <v>476</v>
      </c>
      <c r="E129" s="42" t="s">
        <v>411</v>
      </c>
      <c r="F129" s="47">
        <v>4.99</v>
      </c>
      <c r="G129" s="44">
        <v>46259</v>
      </c>
      <c r="H129" s="45" t="e">
        <f t="shared" si="0"/>
        <v>#N/A</v>
      </c>
      <c r="I129" s="46">
        <v>45936.649351851855</v>
      </c>
    </row>
    <row r="130" spans="1:9">
      <c r="A130" s="40" t="s">
        <v>474</v>
      </c>
      <c r="B130" s="40" t="s">
        <v>475</v>
      </c>
      <c r="C130" s="41">
        <v>45874</v>
      </c>
      <c r="D130" s="42" t="s">
        <v>476</v>
      </c>
      <c r="E130" s="42" t="s">
        <v>411</v>
      </c>
      <c r="F130" s="47">
        <v>3.91</v>
      </c>
      <c r="G130" s="44">
        <v>46228</v>
      </c>
      <c r="H130" s="45" t="e">
        <f t="shared" si="0"/>
        <v>#N/A</v>
      </c>
      <c r="I130" s="46">
        <v>45936.649351851855</v>
      </c>
    </row>
    <row r="131" spans="1:9">
      <c r="A131" s="40" t="s">
        <v>474</v>
      </c>
      <c r="B131" s="40" t="s">
        <v>475</v>
      </c>
      <c r="C131" s="41">
        <v>45843</v>
      </c>
      <c r="D131" s="42" t="s">
        <v>476</v>
      </c>
      <c r="E131" s="42" t="s">
        <v>411</v>
      </c>
      <c r="F131" s="47">
        <v>3.96</v>
      </c>
      <c r="G131" s="44">
        <v>46198</v>
      </c>
      <c r="H131" s="45" t="e">
        <f t="shared" si="0"/>
        <v>#N/A</v>
      </c>
      <c r="I131" s="46">
        <v>45936.649351851855</v>
      </c>
    </row>
    <row r="132" spans="1:9">
      <c r="A132" s="40" t="s">
        <v>474</v>
      </c>
      <c r="B132" s="40" t="s">
        <v>475</v>
      </c>
      <c r="C132" s="41">
        <v>45813</v>
      </c>
      <c r="D132" s="42" t="s">
        <v>476</v>
      </c>
      <c r="E132" s="42" t="s">
        <v>411</v>
      </c>
      <c r="F132" s="47">
        <v>4.6900000000000004</v>
      </c>
      <c r="G132" s="44">
        <v>46167</v>
      </c>
      <c r="H132" s="45" t="e">
        <f t="shared" si="0"/>
        <v>#N/A</v>
      </c>
      <c r="I132" s="46">
        <v>45936.649351851855</v>
      </c>
    </row>
    <row r="133" spans="1:9">
      <c r="A133" s="40" t="s">
        <v>474</v>
      </c>
      <c r="B133" s="40" t="s">
        <v>475</v>
      </c>
      <c r="C133" s="41">
        <v>45782</v>
      </c>
      <c r="D133" s="42" t="s">
        <v>476</v>
      </c>
      <c r="E133" s="42" t="s">
        <v>411</v>
      </c>
      <c r="F133" s="47">
        <v>4.0199999999999996</v>
      </c>
      <c r="G133" s="44">
        <v>46137</v>
      </c>
      <c r="H133" s="45" t="e">
        <f t="shared" si="0"/>
        <v>#N/A</v>
      </c>
      <c r="I133" s="46">
        <v>45936.649351851855</v>
      </c>
    </row>
    <row r="134" spans="1:9">
      <c r="A134" s="40" t="s">
        <v>474</v>
      </c>
      <c r="B134" s="40" t="s">
        <v>475</v>
      </c>
      <c r="C134" s="41">
        <v>45752</v>
      </c>
      <c r="D134" s="42" t="s">
        <v>476</v>
      </c>
      <c r="E134" s="42" t="s">
        <v>411</v>
      </c>
      <c r="F134" s="47">
        <v>5.13</v>
      </c>
      <c r="G134" s="44">
        <v>46106</v>
      </c>
      <c r="H134" s="45" t="e">
        <f t="shared" si="0"/>
        <v>#N/A</v>
      </c>
      <c r="I134" s="46">
        <v>45936.649351851855</v>
      </c>
    </row>
    <row r="135" spans="1:9">
      <c r="A135" s="40" t="s">
        <v>477</v>
      </c>
      <c r="B135" s="40" t="s">
        <v>478</v>
      </c>
      <c r="C135" s="41">
        <v>46117</v>
      </c>
      <c r="D135" s="42" t="s">
        <v>476</v>
      </c>
      <c r="E135" s="42" t="s">
        <v>411</v>
      </c>
      <c r="F135" s="43"/>
      <c r="G135" s="44">
        <v>46107</v>
      </c>
      <c r="H135" s="45" t="e">
        <f t="shared" si="0"/>
        <v>#N/A</v>
      </c>
      <c r="I135" s="46"/>
    </row>
    <row r="136" spans="1:9">
      <c r="A136" s="40" t="s">
        <v>477</v>
      </c>
      <c r="B136" s="40" t="s">
        <v>478</v>
      </c>
      <c r="C136" s="41">
        <v>46086</v>
      </c>
      <c r="D136" s="42" t="s">
        <v>476</v>
      </c>
      <c r="E136" s="42" t="s">
        <v>411</v>
      </c>
      <c r="F136" s="43"/>
      <c r="G136" s="44">
        <v>46079</v>
      </c>
      <c r="H136" s="45" t="e">
        <f t="shared" si="0"/>
        <v>#N/A</v>
      </c>
      <c r="I136" s="43"/>
    </row>
    <row r="137" spans="1:9">
      <c r="A137" s="40" t="s">
        <v>477</v>
      </c>
      <c r="B137" s="40" t="s">
        <v>478</v>
      </c>
      <c r="C137" s="41">
        <v>46058</v>
      </c>
      <c r="D137" s="42" t="s">
        <v>476</v>
      </c>
      <c r="E137" s="42" t="s">
        <v>411</v>
      </c>
      <c r="F137" s="47">
        <v>9.39</v>
      </c>
      <c r="G137" s="44">
        <v>46048</v>
      </c>
      <c r="H137" s="45" t="e">
        <f t="shared" si="0"/>
        <v>#N/A</v>
      </c>
      <c r="I137" s="46">
        <v>46057.547465277778</v>
      </c>
    </row>
    <row r="138" spans="1:9">
      <c r="A138" s="40" t="s">
        <v>477</v>
      </c>
      <c r="B138" s="40" t="s">
        <v>478</v>
      </c>
      <c r="C138" s="41">
        <v>46027</v>
      </c>
      <c r="D138" s="42" t="s">
        <v>476</v>
      </c>
      <c r="E138" s="42" t="s">
        <v>411</v>
      </c>
      <c r="F138" s="47">
        <v>8.9700000000000006</v>
      </c>
      <c r="G138" s="44">
        <v>46381</v>
      </c>
      <c r="H138" s="45" t="e">
        <f t="shared" si="0"/>
        <v>#N/A</v>
      </c>
      <c r="I138" s="46">
        <v>46028.615694444445</v>
      </c>
    </row>
    <row r="139" spans="1:9">
      <c r="A139" s="40" t="s">
        <v>477</v>
      </c>
      <c r="B139" s="40" t="s">
        <v>478</v>
      </c>
      <c r="C139" s="41">
        <v>45996</v>
      </c>
      <c r="D139" s="42" t="s">
        <v>476</v>
      </c>
      <c r="E139" s="42" t="s">
        <v>411</v>
      </c>
      <c r="F139" s="47">
        <v>7.04</v>
      </c>
      <c r="G139" s="44">
        <v>46351</v>
      </c>
      <c r="H139" s="45" t="e">
        <f t="shared" si="0"/>
        <v>#N/A</v>
      </c>
      <c r="I139" s="46">
        <v>46002.626516203702</v>
      </c>
    </row>
    <row r="140" spans="1:9">
      <c r="A140" s="40" t="s">
        <v>477</v>
      </c>
      <c r="B140" s="40" t="s">
        <v>478</v>
      </c>
      <c r="C140" s="41">
        <v>45966</v>
      </c>
      <c r="D140" s="42" t="s">
        <v>476</v>
      </c>
      <c r="E140" s="42" t="s">
        <v>411</v>
      </c>
      <c r="F140" s="47">
        <v>4.99</v>
      </c>
      <c r="G140" s="44">
        <v>46320</v>
      </c>
      <c r="H140" s="45" t="e">
        <f t="shared" si="0"/>
        <v>#N/A</v>
      </c>
      <c r="I140" s="46">
        <v>45971.770138888889</v>
      </c>
    </row>
    <row r="141" spans="1:9">
      <c r="A141" s="40" t="s">
        <v>477</v>
      </c>
      <c r="B141" s="40" t="s">
        <v>478</v>
      </c>
      <c r="C141" s="41">
        <v>45935</v>
      </c>
      <c r="D141" s="42" t="s">
        <v>476</v>
      </c>
      <c r="E141" s="42" t="s">
        <v>411</v>
      </c>
      <c r="F141" s="47">
        <v>5.15</v>
      </c>
      <c r="G141" s="44">
        <v>46290</v>
      </c>
      <c r="H141" s="45" t="e">
        <f t="shared" si="0"/>
        <v>#N/A</v>
      </c>
      <c r="I141" s="46">
        <v>45971.770046296297</v>
      </c>
    </row>
    <row r="142" spans="1:9">
      <c r="A142" s="40" t="s">
        <v>477</v>
      </c>
      <c r="B142" s="40" t="s">
        <v>478</v>
      </c>
      <c r="C142" s="41">
        <v>45905</v>
      </c>
      <c r="D142" s="42" t="s">
        <v>476</v>
      </c>
      <c r="E142" s="42" t="s">
        <v>411</v>
      </c>
      <c r="F142" s="47">
        <v>6.36</v>
      </c>
      <c r="G142" s="44">
        <v>46259</v>
      </c>
      <c r="H142" s="45" t="e">
        <f t="shared" si="0"/>
        <v>#N/A</v>
      </c>
      <c r="I142" s="46">
        <v>45936.649351851855</v>
      </c>
    </row>
    <row r="143" spans="1:9">
      <c r="A143" s="40" t="s">
        <v>477</v>
      </c>
      <c r="B143" s="40" t="s">
        <v>478</v>
      </c>
      <c r="C143" s="41">
        <v>45874</v>
      </c>
      <c r="D143" s="42" t="s">
        <v>476</v>
      </c>
      <c r="E143" s="42" t="s">
        <v>411</v>
      </c>
      <c r="F143" s="47">
        <v>7.36</v>
      </c>
      <c r="G143" s="44">
        <v>46228</v>
      </c>
      <c r="H143" s="45" t="e">
        <f t="shared" si="0"/>
        <v>#N/A</v>
      </c>
      <c r="I143" s="46">
        <v>45936.649351851855</v>
      </c>
    </row>
    <row r="144" spans="1:9">
      <c r="A144" s="40" t="s">
        <v>477</v>
      </c>
      <c r="B144" s="40" t="s">
        <v>478</v>
      </c>
      <c r="C144" s="41">
        <v>45843</v>
      </c>
      <c r="D144" s="42" t="s">
        <v>476</v>
      </c>
      <c r="E144" s="42" t="s">
        <v>411</v>
      </c>
      <c r="F144" s="47">
        <v>9.4600000000000009</v>
      </c>
      <c r="G144" s="44">
        <v>46198</v>
      </c>
      <c r="H144" s="45" t="e">
        <f t="shared" si="0"/>
        <v>#N/A</v>
      </c>
      <c r="I144" s="46">
        <v>45936.649351851855</v>
      </c>
    </row>
    <row r="145" spans="1:10">
      <c r="A145" s="40" t="s">
        <v>477</v>
      </c>
      <c r="B145" s="40" t="s">
        <v>478</v>
      </c>
      <c r="C145" s="41">
        <v>45813</v>
      </c>
      <c r="D145" s="42" t="s">
        <v>476</v>
      </c>
      <c r="E145" s="42" t="s">
        <v>411</v>
      </c>
      <c r="F145" s="47">
        <v>8.1300000000000008</v>
      </c>
      <c r="G145" s="44">
        <v>46167</v>
      </c>
      <c r="H145" s="45" t="e">
        <f t="shared" si="0"/>
        <v>#N/A</v>
      </c>
      <c r="I145" s="46">
        <v>45936.649351851855</v>
      </c>
    </row>
    <row r="146" spans="1:10">
      <c r="A146" s="40" t="s">
        <v>477</v>
      </c>
      <c r="B146" s="40" t="s">
        <v>478</v>
      </c>
      <c r="C146" s="41">
        <v>45782</v>
      </c>
      <c r="D146" s="42" t="s">
        <v>476</v>
      </c>
      <c r="E146" s="42" t="s">
        <v>411</v>
      </c>
      <c r="F146" s="47">
        <v>8.39</v>
      </c>
      <c r="G146" s="44">
        <v>46137</v>
      </c>
      <c r="H146" s="45" t="e">
        <f t="shared" si="0"/>
        <v>#N/A</v>
      </c>
      <c r="I146" s="46">
        <v>45936.649351851855</v>
      </c>
    </row>
    <row r="147" spans="1:10">
      <c r="A147" s="40" t="s">
        <v>477</v>
      </c>
      <c r="B147" s="40" t="s">
        <v>478</v>
      </c>
      <c r="C147" s="41">
        <v>45752</v>
      </c>
      <c r="D147" s="42" t="s">
        <v>476</v>
      </c>
      <c r="E147" s="42" t="s">
        <v>411</v>
      </c>
      <c r="F147" s="47">
        <v>9.8699999999999992</v>
      </c>
      <c r="G147" s="44">
        <v>46106</v>
      </c>
      <c r="H147" s="45" t="e">
        <f t="shared" si="0"/>
        <v>#N/A</v>
      </c>
      <c r="I147" s="46">
        <v>45936.649351851855</v>
      </c>
    </row>
    <row r="148" spans="1:10">
      <c r="A148" s="40" t="s">
        <v>479</v>
      </c>
      <c r="B148" s="40" t="s">
        <v>480</v>
      </c>
      <c r="C148" s="41">
        <v>46117</v>
      </c>
      <c r="D148" s="42" t="s">
        <v>476</v>
      </c>
      <c r="E148" s="42" t="s">
        <v>411</v>
      </c>
      <c r="F148" s="43"/>
      <c r="G148" s="44">
        <v>46107</v>
      </c>
      <c r="H148" s="45" t="e">
        <f t="shared" si="0"/>
        <v>#N/A</v>
      </c>
      <c r="I148" s="46"/>
    </row>
    <row r="149" spans="1:10">
      <c r="A149" s="40" t="s">
        <v>479</v>
      </c>
      <c r="B149" s="40" t="s">
        <v>480</v>
      </c>
      <c r="C149" s="41">
        <v>46086</v>
      </c>
      <c r="D149" s="42" t="s">
        <v>476</v>
      </c>
      <c r="E149" s="42" t="s">
        <v>411</v>
      </c>
      <c r="F149" s="43"/>
      <c r="G149" s="44">
        <v>46079</v>
      </c>
      <c r="H149" s="45" t="e">
        <f t="shared" si="0"/>
        <v>#N/A</v>
      </c>
      <c r="I149" s="43"/>
    </row>
    <row r="150" spans="1:10">
      <c r="A150" s="40" t="s">
        <v>479</v>
      </c>
      <c r="B150" s="40" t="s">
        <v>480</v>
      </c>
      <c r="C150" s="41">
        <v>46058</v>
      </c>
      <c r="D150" s="42" t="s">
        <v>476</v>
      </c>
      <c r="E150" s="42" t="s">
        <v>411</v>
      </c>
      <c r="F150" s="47">
        <v>2.46</v>
      </c>
      <c r="G150" s="44">
        <v>46048</v>
      </c>
      <c r="H150" s="45" t="e">
        <f t="shared" si="0"/>
        <v>#N/A</v>
      </c>
      <c r="I150" s="46">
        <v>46057.547662037039</v>
      </c>
    </row>
    <row r="151" spans="1:10">
      <c r="A151" s="40" t="s">
        <v>479</v>
      </c>
      <c r="B151" s="40" t="s">
        <v>480</v>
      </c>
      <c r="C151" s="41">
        <v>46027</v>
      </c>
      <c r="D151" s="42" t="s">
        <v>476</v>
      </c>
      <c r="E151" s="42" t="s">
        <v>411</v>
      </c>
      <c r="F151" s="47">
        <v>2.83</v>
      </c>
      <c r="G151" s="44">
        <v>46381</v>
      </c>
      <c r="H151" s="45" t="e">
        <f t="shared" si="0"/>
        <v>#N/A</v>
      </c>
      <c r="I151" s="46">
        <v>46029.685960648145</v>
      </c>
      <c r="J151" s="40" t="s">
        <v>481</v>
      </c>
    </row>
    <row r="152" spans="1:10">
      <c r="A152" s="40" t="s">
        <v>479</v>
      </c>
      <c r="B152" s="40" t="s">
        <v>480</v>
      </c>
      <c r="C152" s="41">
        <v>45996</v>
      </c>
      <c r="D152" s="42" t="s">
        <v>476</v>
      </c>
      <c r="E152" s="42" t="s">
        <v>411</v>
      </c>
      <c r="F152" s="47">
        <v>3.65</v>
      </c>
      <c r="G152" s="44">
        <v>46351</v>
      </c>
      <c r="H152" s="45" t="e">
        <f t="shared" si="0"/>
        <v>#N/A</v>
      </c>
      <c r="I152" s="46">
        <v>46002.626805555556</v>
      </c>
    </row>
    <row r="153" spans="1:10">
      <c r="A153" s="40" t="s">
        <v>479</v>
      </c>
      <c r="B153" s="40" t="s">
        <v>480</v>
      </c>
      <c r="C153" s="41">
        <v>45966</v>
      </c>
      <c r="D153" s="42" t="s">
        <v>476</v>
      </c>
      <c r="E153" s="42" t="s">
        <v>411</v>
      </c>
      <c r="F153" s="47">
        <v>3.57</v>
      </c>
      <c r="G153" s="44">
        <v>46320</v>
      </c>
      <c r="H153" s="45" t="e">
        <f t="shared" si="0"/>
        <v>#N/A</v>
      </c>
      <c r="I153" s="46">
        <v>45971.773923611108</v>
      </c>
      <c r="J153" s="40" t="s">
        <v>482</v>
      </c>
    </row>
    <row r="154" spans="1:10">
      <c r="A154" s="40" t="s">
        <v>479</v>
      </c>
      <c r="B154" s="40" t="s">
        <v>480</v>
      </c>
      <c r="C154" s="41">
        <v>45935</v>
      </c>
      <c r="D154" s="42" t="s">
        <v>476</v>
      </c>
      <c r="E154" s="42" t="s">
        <v>411</v>
      </c>
      <c r="F154" s="47">
        <v>2</v>
      </c>
      <c r="G154" s="44">
        <v>46290</v>
      </c>
      <c r="H154" s="45" t="e">
        <f t="shared" si="0"/>
        <v>#N/A</v>
      </c>
      <c r="I154" s="46">
        <v>45971.773541666669</v>
      </c>
    </row>
    <row r="155" spans="1:10">
      <c r="A155" s="40" t="s">
        <v>479</v>
      </c>
      <c r="B155" s="40" t="s">
        <v>480</v>
      </c>
      <c r="C155" s="41">
        <v>45905</v>
      </c>
      <c r="D155" s="42" t="s">
        <v>476</v>
      </c>
      <c r="E155" s="42" t="s">
        <v>411</v>
      </c>
      <c r="F155" s="47">
        <v>4.51</v>
      </c>
      <c r="G155" s="44">
        <v>46259</v>
      </c>
      <c r="H155" s="45" t="e">
        <f t="shared" si="0"/>
        <v>#N/A</v>
      </c>
      <c r="I155" s="46">
        <v>45936.649351851855</v>
      </c>
    </row>
    <row r="156" spans="1:10">
      <c r="A156" s="40" t="s">
        <v>479</v>
      </c>
      <c r="B156" s="40" t="s">
        <v>480</v>
      </c>
      <c r="C156" s="41">
        <v>45874</v>
      </c>
      <c r="D156" s="42" t="s">
        <v>476</v>
      </c>
      <c r="E156" s="42" t="s">
        <v>411</v>
      </c>
      <c r="F156" s="47">
        <v>3.13</v>
      </c>
      <c r="G156" s="44">
        <v>46228</v>
      </c>
      <c r="H156" s="45" t="e">
        <f t="shared" si="0"/>
        <v>#N/A</v>
      </c>
      <c r="I156" s="46">
        <v>45936.649351851855</v>
      </c>
    </row>
    <row r="157" spans="1:10">
      <c r="A157" s="40" t="s">
        <v>479</v>
      </c>
      <c r="B157" s="40" t="s">
        <v>480</v>
      </c>
      <c r="C157" s="41">
        <v>45843</v>
      </c>
      <c r="D157" s="42" t="s">
        <v>476</v>
      </c>
      <c r="E157" s="42" t="s">
        <v>411</v>
      </c>
      <c r="F157" s="47">
        <v>2.95</v>
      </c>
      <c r="G157" s="44">
        <v>46198</v>
      </c>
      <c r="H157" s="45" t="e">
        <f t="shared" si="0"/>
        <v>#N/A</v>
      </c>
      <c r="I157" s="46">
        <v>45936.649351851855</v>
      </c>
    </row>
    <row r="158" spans="1:10">
      <c r="A158" s="40" t="s">
        <v>479</v>
      </c>
      <c r="B158" s="40" t="s">
        <v>480</v>
      </c>
      <c r="C158" s="41">
        <v>45813</v>
      </c>
      <c r="D158" s="42" t="s">
        <v>476</v>
      </c>
      <c r="E158" s="42" t="s">
        <v>411</v>
      </c>
      <c r="F158" s="47">
        <v>2.76</v>
      </c>
      <c r="G158" s="44">
        <v>46167</v>
      </c>
      <c r="H158" s="45" t="e">
        <f t="shared" si="0"/>
        <v>#N/A</v>
      </c>
      <c r="I158" s="46">
        <v>45978.498761574076</v>
      </c>
    </row>
    <row r="159" spans="1:10">
      <c r="A159" s="40" t="s">
        <v>479</v>
      </c>
      <c r="B159" s="40" t="s">
        <v>480</v>
      </c>
      <c r="C159" s="41">
        <v>45782</v>
      </c>
      <c r="D159" s="42" t="s">
        <v>476</v>
      </c>
      <c r="E159" s="42" t="s">
        <v>411</v>
      </c>
      <c r="F159" s="47">
        <v>3.98</v>
      </c>
      <c r="G159" s="44">
        <v>46137</v>
      </c>
      <c r="H159" s="45" t="e">
        <f t="shared" si="0"/>
        <v>#N/A</v>
      </c>
      <c r="I159" s="46">
        <v>45936.649351851855</v>
      </c>
    </row>
    <row r="160" spans="1:10">
      <c r="A160" s="40" t="s">
        <v>479</v>
      </c>
      <c r="B160" s="40" t="s">
        <v>480</v>
      </c>
      <c r="C160" s="41">
        <v>45752</v>
      </c>
      <c r="D160" s="42" t="s">
        <v>476</v>
      </c>
      <c r="E160" s="42" t="s">
        <v>411</v>
      </c>
      <c r="F160" s="47">
        <v>3.54</v>
      </c>
      <c r="G160" s="44">
        <v>46106</v>
      </c>
      <c r="H160" s="45" t="e">
        <f t="shared" si="0"/>
        <v>#N/A</v>
      </c>
      <c r="I160" s="46">
        <v>45978.505162037036</v>
      </c>
    </row>
    <row r="161" spans="1:10">
      <c r="A161" s="40" t="s">
        <v>479</v>
      </c>
      <c r="B161" s="40" t="s">
        <v>480</v>
      </c>
      <c r="C161" s="41">
        <v>45721</v>
      </c>
      <c r="D161" s="42" t="s">
        <v>476</v>
      </c>
      <c r="E161" s="42" t="s">
        <v>411</v>
      </c>
      <c r="F161" s="47">
        <v>3.04</v>
      </c>
      <c r="G161" s="44">
        <v>46078</v>
      </c>
      <c r="H161" s="45" t="e">
        <f t="shared" si="0"/>
        <v>#N/A</v>
      </c>
      <c r="I161" s="46">
        <v>45971.773356481484</v>
      </c>
    </row>
    <row r="162" spans="1:10">
      <c r="A162" s="40" t="s">
        <v>479</v>
      </c>
      <c r="B162" s="40" t="s">
        <v>480</v>
      </c>
      <c r="C162" s="41">
        <v>45693</v>
      </c>
      <c r="D162" s="42" t="s">
        <v>476</v>
      </c>
      <c r="E162" s="42" t="s">
        <v>411</v>
      </c>
      <c r="F162" s="47">
        <v>2.4500000000000002</v>
      </c>
      <c r="G162" s="44">
        <v>46047</v>
      </c>
      <c r="H162" s="45" t="e">
        <f t="shared" si="0"/>
        <v>#N/A</v>
      </c>
      <c r="I162" s="46">
        <v>45971.773275462961</v>
      </c>
    </row>
    <row r="163" spans="1:10">
      <c r="A163" s="40" t="s">
        <v>483</v>
      </c>
      <c r="B163" s="40" t="s">
        <v>484</v>
      </c>
      <c r="C163" s="41">
        <v>46117</v>
      </c>
      <c r="D163" s="42" t="s">
        <v>476</v>
      </c>
      <c r="E163" s="42" t="s">
        <v>411</v>
      </c>
      <c r="F163" s="43"/>
      <c r="G163" s="44">
        <v>46107</v>
      </c>
      <c r="H163" s="45" t="e">
        <f t="shared" si="0"/>
        <v>#N/A</v>
      </c>
      <c r="I163" s="46"/>
    </row>
    <row r="164" spans="1:10">
      <c r="A164" s="40" t="s">
        <v>483</v>
      </c>
      <c r="B164" s="40" t="s">
        <v>484</v>
      </c>
      <c r="C164" s="41">
        <v>46086</v>
      </c>
      <c r="D164" s="42" t="s">
        <v>476</v>
      </c>
      <c r="E164" s="42" t="s">
        <v>411</v>
      </c>
      <c r="F164" s="43"/>
      <c r="G164" s="44">
        <v>46079</v>
      </c>
      <c r="H164" s="45" t="e">
        <f t="shared" si="0"/>
        <v>#N/A</v>
      </c>
      <c r="I164" s="43"/>
    </row>
    <row r="165" spans="1:10">
      <c r="A165" s="40" t="s">
        <v>483</v>
      </c>
      <c r="B165" s="40" t="s">
        <v>484</v>
      </c>
      <c r="C165" s="41">
        <v>46058</v>
      </c>
      <c r="D165" s="42" t="s">
        <v>476</v>
      </c>
      <c r="E165" s="42" t="s">
        <v>411</v>
      </c>
      <c r="F165" s="47">
        <v>2.4900000000000002</v>
      </c>
      <c r="G165" s="44">
        <v>46048</v>
      </c>
      <c r="H165" s="45" t="e">
        <f t="shared" si="0"/>
        <v>#N/A</v>
      </c>
      <c r="I165" s="46">
        <v>46057.547800925924</v>
      </c>
    </row>
    <row r="166" spans="1:10">
      <c r="A166" s="40" t="s">
        <v>483</v>
      </c>
      <c r="B166" s="40" t="s">
        <v>484</v>
      </c>
      <c r="C166" s="41">
        <v>46027</v>
      </c>
      <c r="D166" s="42" t="s">
        <v>476</v>
      </c>
      <c r="E166" s="42" t="s">
        <v>411</v>
      </c>
      <c r="F166" s="47">
        <v>15.6</v>
      </c>
      <c r="G166" s="44">
        <v>46381</v>
      </c>
      <c r="H166" s="45" t="e">
        <f t="shared" si="0"/>
        <v>#N/A</v>
      </c>
      <c r="I166" s="46">
        <v>46029.689155092594</v>
      </c>
      <c r="J166" s="40" t="s">
        <v>485</v>
      </c>
    </row>
    <row r="167" spans="1:10">
      <c r="A167" s="40" t="s">
        <v>483</v>
      </c>
      <c r="B167" s="40" t="s">
        <v>484</v>
      </c>
      <c r="C167" s="41">
        <v>45996</v>
      </c>
      <c r="D167" s="42" t="s">
        <v>476</v>
      </c>
      <c r="E167" s="42" t="s">
        <v>411</v>
      </c>
      <c r="F167" s="47">
        <v>1.32</v>
      </c>
      <c r="G167" s="44">
        <v>46351</v>
      </c>
      <c r="H167" s="45" t="e">
        <f t="shared" si="0"/>
        <v>#N/A</v>
      </c>
      <c r="I167" s="46">
        <v>46010.639050925929</v>
      </c>
      <c r="J167" s="40" t="s">
        <v>486</v>
      </c>
    </row>
    <row r="168" spans="1:10">
      <c r="A168" s="40" t="s">
        <v>483</v>
      </c>
      <c r="B168" s="40" t="s">
        <v>484</v>
      </c>
      <c r="C168" s="41">
        <v>45966</v>
      </c>
      <c r="D168" s="42" t="s">
        <v>476</v>
      </c>
      <c r="E168" s="42" t="s">
        <v>411</v>
      </c>
      <c r="F168" s="47">
        <v>2.58</v>
      </c>
      <c r="G168" s="44">
        <v>46320</v>
      </c>
      <c r="H168" s="45" t="e">
        <f t="shared" si="0"/>
        <v>#N/A</v>
      </c>
      <c r="I168" s="46">
        <v>45971.774907407409</v>
      </c>
      <c r="J168" s="40" t="s">
        <v>487</v>
      </c>
    </row>
    <row r="169" spans="1:10">
      <c r="A169" s="40" t="s">
        <v>483</v>
      </c>
      <c r="B169" s="40" t="s">
        <v>484</v>
      </c>
      <c r="C169" s="41">
        <v>45935</v>
      </c>
      <c r="D169" s="42" t="s">
        <v>476</v>
      </c>
      <c r="E169" s="42" t="s">
        <v>411</v>
      </c>
      <c r="F169" s="47">
        <v>2.72</v>
      </c>
      <c r="G169" s="44">
        <v>46290</v>
      </c>
      <c r="H169" s="45" t="e">
        <f t="shared" si="0"/>
        <v>#N/A</v>
      </c>
      <c r="I169" s="46">
        <v>45971.774456018517</v>
      </c>
    </row>
    <row r="170" spans="1:10">
      <c r="A170" s="40" t="s">
        <v>483</v>
      </c>
      <c r="B170" s="40" t="s">
        <v>484</v>
      </c>
      <c r="C170" s="41">
        <v>45905</v>
      </c>
      <c r="D170" s="42" t="s">
        <v>476</v>
      </c>
      <c r="E170" s="42" t="s">
        <v>411</v>
      </c>
      <c r="F170" s="47">
        <v>2.83</v>
      </c>
      <c r="G170" s="44">
        <v>46259</v>
      </c>
      <c r="H170" s="45" t="e">
        <f t="shared" si="0"/>
        <v>#N/A</v>
      </c>
      <c r="I170" s="46">
        <v>45936.649363425924</v>
      </c>
    </row>
    <row r="171" spans="1:10">
      <c r="A171" s="40" t="s">
        <v>483</v>
      </c>
      <c r="B171" s="40" t="s">
        <v>484</v>
      </c>
      <c r="C171" s="41">
        <v>45874</v>
      </c>
      <c r="D171" s="42" t="s">
        <v>476</v>
      </c>
      <c r="E171" s="42" t="s">
        <v>411</v>
      </c>
      <c r="F171" s="47">
        <v>2.9</v>
      </c>
      <c r="G171" s="44">
        <v>46228</v>
      </c>
      <c r="H171" s="45" t="e">
        <f t="shared" si="0"/>
        <v>#N/A</v>
      </c>
      <c r="I171" s="46">
        <v>45978.507418981484</v>
      </c>
    </row>
    <row r="172" spans="1:10">
      <c r="A172" s="40" t="s">
        <v>483</v>
      </c>
      <c r="B172" s="40" t="s">
        <v>484</v>
      </c>
      <c r="C172" s="41">
        <v>45843</v>
      </c>
      <c r="D172" s="42" t="s">
        <v>476</v>
      </c>
      <c r="E172" s="42" t="s">
        <v>411</v>
      </c>
      <c r="F172" s="47">
        <v>2.9</v>
      </c>
      <c r="G172" s="44">
        <v>46198</v>
      </c>
      <c r="H172" s="45" t="e">
        <f t="shared" si="0"/>
        <v>#N/A</v>
      </c>
      <c r="I172" s="46">
        <v>45936.649351851855</v>
      </c>
    </row>
    <row r="173" spans="1:10">
      <c r="A173" s="40" t="s">
        <v>483</v>
      </c>
      <c r="B173" s="40" t="s">
        <v>484</v>
      </c>
      <c r="C173" s="41">
        <v>45813</v>
      </c>
      <c r="D173" s="42" t="s">
        <v>476</v>
      </c>
      <c r="E173" s="42" t="s">
        <v>411</v>
      </c>
      <c r="F173" s="47">
        <v>2.99</v>
      </c>
      <c r="G173" s="44">
        <v>46167</v>
      </c>
      <c r="H173" s="45" t="e">
        <f t="shared" si="0"/>
        <v>#N/A</v>
      </c>
      <c r="I173" s="46">
        <v>45978.507222222222</v>
      </c>
    </row>
    <row r="174" spans="1:10">
      <c r="A174" s="40" t="s">
        <v>483</v>
      </c>
      <c r="B174" s="40" t="s">
        <v>484</v>
      </c>
      <c r="C174" s="41">
        <v>45782</v>
      </c>
      <c r="D174" s="42" t="s">
        <v>476</v>
      </c>
      <c r="E174" s="42" t="s">
        <v>411</v>
      </c>
      <c r="F174" s="47">
        <v>3.02</v>
      </c>
      <c r="G174" s="44">
        <v>46137</v>
      </c>
      <c r="H174" s="45" t="e">
        <f t="shared" si="0"/>
        <v>#N/A</v>
      </c>
      <c r="I174" s="46">
        <v>45936.649351851855</v>
      </c>
    </row>
    <row r="175" spans="1:10">
      <c r="A175" s="40" t="s">
        <v>483</v>
      </c>
      <c r="B175" s="40" t="s">
        <v>484</v>
      </c>
      <c r="C175" s="41">
        <v>45752</v>
      </c>
      <c r="D175" s="42" t="s">
        <v>476</v>
      </c>
      <c r="E175" s="42" t="s">
        <v>411</v>
      </c>
      <c r="F175" s="47">
        <v>3.28</v>
      </c>
      <c r="G175" s="44">
        <v>46106</v>
      </c>
      <c r="H175" s="45" t="e">
        <f t="shared" si="0"/>
        <v>#N/A</v>
      </c>
      <c r="I175" s="46">
        <v>45936.649351851855</v>
      </c>
    </row>
    <row r="176" spans="1:10">
      <c r="A176" s="40" t="s">
        <v>483</v>
      </c>
      <c r="B176" s="40" t="s">
        <v>484</v>
      </c>
      <c r="C176" s="41">
        <v>45721</v>
      </c>
      <c r="D176" s="42" t="s">
        <v>476</v>
      </c>
      <c r="E176" s="42" t="s">
        <v>411</v>
      </c>
      <c r="F176" s="47">
        <v>3.13</v>
      </c>
      <c r="G176" s="44">
        <v>46078</v>
      </c>
      <c r="H176" s="45" t="e">
        <f t="shared" si="0"/>
        <v>#N/A</v>
      </c>
      <c r="I176" s="46">
        <v>45971.774317129632</v>
      </c>
    </row>
    <row r="177" spans="1:10">
      <c r="A177" s="40" t="s">
        <v>483</v>
      </c>
      <c r="B177" s="40" t="s">
        <v>484</v>
      </c>
      <c r="C177" s="41">
        <v>45693</v>
      </c>
      <c r="D177" s="42" t="s">
        <v>476</v>
      </c>
      <c r="E177" s="42" t="s">
        <v>411</v>
      </c>
      <c r="F177" s="47">
        <v>4.43</v>
      </c>
      <c r="G177" s="44">
        <v>46047</v>
      </c>
      <c r="H177" s="45" t="e">
        <f t="shared" si="0"/>
        <v>#N/A</v>
      </c>
      <c r="I177" s="46">
        <v>45971.774224537039</v>
      </c>
    </row>
    <row r="178" spans="1:10">
      <c r="A178" s="40" t="s">
        <v>488</v>
      </c>
      <c r="B178" s="40" t="s">
        <v>489</v>
      </c>
      <c r="C178" s="41">
        <v>46122</v>
      </c>
      <c r="D178" s="42" t="s">
        <v>490</v>
      </c>
      <c r="E178" s="42" t="s">
        <v>411</v>
      </c>
      <c r="F178" s="43"/>
      <c r="G178" s="44">
        <v>46107</v>
      </c>
      <c r="H178" s="45" t="e">
        <f t="shared" si="0"/>
        <v>#N/A</v>
      </c>
      <c r="I178" s="46"/>
    </row>
    <row r="179" spans="1:10">
      <c r="A179" s="40" t="s">
        <v>488</v>
      </c>
      <c r="B179" s="40" t="s">
        <v>489</v>
      </c>
      <c r="C179" s="41">
        <v>46091</v>
      </c>
      <c r="D179" s="42" t="s">
        <v>490</v>
      </c>
      <c r="E179" s="42" t="s">
        <v>411</v>
      </c>
      <c r="F179" s="43"/>
      <c r="G179" s="44">
        <v>46079</v>
      </c>
      <c r="H179" s="45" t="e">
        <f t="shared" si="0"/>
        <v>#N/A</v>
      </c>
      <c r="I179" s="43"/>
    </row>
    <row r="180" spans="1:10">
      <c r="A180" s="40" t="s">
        <v>488</v>
      </c>
      <c r="B180" s="40" t="s">
        <v>489</v>
      </c>
      <c r="C180" s="41">
        <v>46063</v>
      </c>
      <c r="D180" s="42" t="s">
        <v>490</v>
      </c>
      <c r="E180" s="42" t="s">
        <v>411</v>
      </c>
      <c r="F180" s="47">
        <v>111.15</v>
      </c>
      <c r="G180" s="44">
        <v>46048</v>
      </c>
      <c r="H180" s="45" t="e">
        <f t="shared" si="0"/>
        <v>#N/A</v>
      </c>
      <c r="I180" s="46">
        <v>46062.534282407411</v>
      </c>
    </row>
    <row r="181" spans="1:10">
      <c r="A181" s="40" t="s">
        <v>488</v>
      </c>
      <c r="B181" s="40" t="s">
        <v>489</v>
      </c>
      <c r="C181" s="41">
        <v>46032</v>
      </c>
      <c r="D181" s="42" t="s">
        <v>490</v>
      </c>
      <c r="E181" s="42" t="s">
        <v>411</v>
      </c>
      <c r="F181" s="47">
        <v>68.48</v>
      </c>
      <c r="G181" s="44">
        <v>46381</v>
      </c>
      <c r="H181" s="45" t="e">
        <f t="shared" si="0"/>
        <v>#N/A</v>
      </c>
      <c r="I181" s="46">
        <v>46034.422361111108</v>
      </c>
      <c r="J181" s="40" t="s">
        <v>491</v>
      </c>
    </row>
    <row r="182" spans="1:10">
      <c r="A182" s="40" t="s">
        <v>488</v>
      </c>
      <c r="B182" s="40" t="s">
        <v>489</v>
      </c>
      <c r="C182" s="41">
        <v>46001</v>
      </c>
      <c r="D182" s="42" t="s">
        <v>490</v>
      </c>
      <c r="E182" s="42" t="s">
        <v>411</v>
      </c>
      <c r="F182" s="47">
        <v>122.46</v>
      </c>
      <c r="G182" s="44">
        <v>46351</v>
      </c>
      <c r="H182" s="45" t="e">
        <f t="shared" si="0"/>
        <v>#N/A</v>
      </c>
      <c r="I182" s="46">
        <v>46006.678668981483</v>
      </c>
    </row>
    <row r="183" spans="1:10">
      <c r="A183" s="40" t="s">
        <v>488</v>
      </c>
      <c r="B183" s="40" t="s">
        <v>489</v>
      </c>
      <c r="C183" s="41">
        <v>45971</v>
      </c>
      <c r="D183" s="42" t="s">
        <v>490</v>
      </c>
      <c r="E183" s="42" t="s">
        <v>411</v>
      </c>
      <c r="F183" s="47">
        <v>56.18</v>
      </c>
      <c r="G183" s="44">
        <v>46320</v>
      </c>
      <c r="H183" s="45" t="e">
        <f t="shared" si="0"/>
        <v>#N/A</v>
      </c>
      <c r="I183" s="46">
        <v>45972.440648148149</v>
      </c>
      <c r="J183" s="40" t="s">
        <v>492</v>
      </c>
    </row>
    <row r="184" spans="1:10">
      <c r="A184" s="40" t="s">
        <v>488</v>
      </c>
      <c r="B184" s="40" t="s">
        <v>489</v>
      </c>
      <c r="C184" s="41">
        <v>45940</v>
      </c>
      <c r="D184" s="42" t="s">
        <v>490</v>
      </c>
      <c r="E184" s="42" t="s">
        <v>411</v>
      </c>
      <c r="F184" s="47">
        <v>83.07</v>
      </c>
      <c r="G184" s="44">
        <v>46290</v>
      </c>
      <c r="H184" s="45" t="e">
        <f t="shared" si="0"/>
        <v>#N/A</v>
      </c>
      <c r="I184" s="46">
        <v>45972.440150462964</v>
      </c>
    </row>
    <row r="185" spans="1:10">
      <c r="A185" s="40" t="s">
        <v>488</v>
      </c>
      <c r="B185" s="40" t="s">
        <v>489</v>
      </c>
      <c r="C185" s="41">
        <v>45910</v>
      </c>
      <c r="D185" s="42" t="s">
        <v>490</v>
      </c>
      <c r="E185" s="42" t="s">
        <v>411</v>
      </c>
      <c r="F185" s="47">
        <v>78.040000000000006</v>
      </c>
      <c r="G185" s="44">
        <v>46259</v>
      </c>
      <c r="H185" s="45" t="e">
        <f t="shared" si="0"/>
        <v>#N/A</v>
      </c>
      <c r="I185" s="46">
        <v>45938.71334490741</v>
      </c>
    </row>
    <row r="186" spans="1:10">
      <c r="A186" s="40" t="s">
        <v>488</v>
      </c>
      <c r="B186" s="40" t="s">
        <v>489</v>
      </c>
      <c r="C186" s="41">
        <v>45879</v>
      </c>
      <c r="D186" s="42" t="s">
        <v>490</v>
      </c>
      <c r="E186" s="42" t="s">
        <v>411</v>
      </c>
      <c r="F186" s="47">
        <v>199.11</v>
      </c>
      <c r="G186" s="44">
        <v>46228</v>
      </c>
      <c r="H186" s="45" t="e">
        <f t="shared" si="0"/>
        <v>#N/A</v>
      </c>
      <c r="I186" s="46">
        <v>45938.71334490741</v>
      </c>
    </row>
    <row r="187" spans="1:10">
      <c r="A187" s="40" t="s">
        <v>488</v>
      </c>
      <c r="B187" s="40" t="s">
        <v>489</v>
      </c>
      <c r="C187" s="41">
        <v>45848</v>
      </c>
      <c r="D187" s="42" t="s">
        <v>490</v>
      </c>
      <c r="E187" s="42" t="s">
        <v>411</v>
      </c>
      <c r="F187" s="47">
        <v>86.17</v>
      </c>
      <c r="G187" s="44">
        <v>46198</v>
      </c>
      <c r="H187" s="45" t="e">
        <f t="shared" si="0"/>
        <v>#N/A</v>
      </c>
      <c r="I187" s="46">
        <v>45938.71334490741</v>
      </c>
    </row>
    <row r="188" spans="1:10">
      <c r="A188" s="40" t="s">
        <v>488</v>
      </c>
      <c r="B188" s="40" t="s">
        <v>489</v>
      </c>
      <c r="C188" s="41">
        <v>45818</v>
      </c>
      <c r="D188" s="42" t="s">
        <v>490</v>
      </c>
      <c r="E188" s="42" t="s">
        <v>411</v>
      </c>
      <c r="F188" s="47">
        <v>70.599999999999994</v>
      </c>
      <c r="G188" s="44">
        <v>46167</v>
      </c>
      <c r="H188" s="45" t="e">
        <f t="shared" si="0"/>
        <v>#N/A</v>
      </c>
      <c r="I188" s="46">
        <v>45938.71334490741</v>
      </c>
    </row>
    <row r="189" spans="1:10">
      <c r="A189" s="40" t="s">
        <v>488</v>
      </c>
      <c r="B189" s="40" t="s">
        <v>489</v>
      </c>
      <c r="C189" s="41">
        <v>45787</v>
      </c>
      <c r="D189" s="42" t="s">
        <v>490</v>
      </c>
      <c r="E189" s="42" t="s">
        <v>411</v>
      </c>
      <c r="F189" s="47">
        <v>84.79</v>
      </c>
      <c r="G189" s="44">
        <v>46137</v>
      </c>
      <c r="H189" s="45" t="e">
        <f t="shared" si="0"/>
        <v>#N/A</v>
      </c>
      <c r="I189" s="46">
        <v>45938.71334490741</v>
      </c>
    </row>
    <row r="190" spans="1:10">
      <c r="A190" s="40" t="s">
        <v>488</v>
      </c>
      <c r="B190" s="40" t="s">
        <v>489</v>
      </c>
      <c r="C190" s="41">
        <v>45757</v>
      </c>
      <c r="D190" s="42" t="s">
        <v>490</v>
      </c>
      <c r="E190" s="42" t="s">
        <v>411</v>
      </c>
      <c r="F190" s="47">
        <v>106.28</v>
      </c>
      <c r="G190" s="44">
        <v>46106</v>
      </c>
      <c r="H190" s="45" t="e">
        <f t="shared" si="0"/>
        <v>#N/A</v>
      </c>
      <c r="I190" s="46">
        <v>45978.695</v>
      </c>
    </row>
    <row r="191" spans="1:10">
      <c r="A191" s="40" t="s">
        <v>488</v>
      </c>
      <c r="B191" s="40" t="s">
        <v>489</v>
      </c>
      <c r="C191" s="41">
        <v>45726</v>
      </c>
      <c r="D191" s="42" t="s">
        <v>490</v>
      </c>
      <c r="E191" s="42" t="s">
        <v>411</v>
      </c>
      <c r="F191" s="47">
        <v>153.03</v>
      </c>
      <c r="G191" s="44">
        <v>46078</v>
      </c>
      <c r="H191" s="45" t="e">
        <f t="shared" si="0"/>
        <v>#N/A</v>
      </c>
      <c r="I191" s="46">
        <v>45972.440023148149</v>
      </c>
    </row>
    <row r="192" spans="1:10">
      <c r="A192" s="40" t="s">
        <v>488</v>
      </c>
      <c r="B192" s="40" t="s">
        <v>489</v>
      </c>
      <c r="C192" s="41">
        <v>45698</v>
      </c>
      <c r="D192" s="42" t="s">
        <v>490</v>
      </c>
      <c r="E192" s="42" t="s">
        <v>411</v>
      </c>
      <c r="F192" s="47">
        <v>151.06</v>
      </c>
      <c r="G192" s="44">
        <v>46047</v>
      </c>
      <c r="H192" s="45" t="e">
        <f t="shared" si="0"/>
        <v>#N/A</v>
      </c>
      <c r="I192" s="46">
        <v>45972.439953703702</v>
      </c>
    </row>
    <row r="193" spans="1:10">
      <c r="A193" s="40" t="s">
        <v>493</v>
      </c>
      <c r="B193" s="40" t="s">
        <v>494</v>
      </c>
      <c r="C193" s="41">
        <v>46122</v>
      </c>
      <c r="D193" s="42" t="s">
        <v>410</v>
      </c>
      <c r="E193" s="42" t="s">
        <v>411</v>
      </c>
      <c r="F193" s="43"/>
      <c r="G193" s="44">
        <v>46107</v>
      </c>
      <c r="H193" s="45" t="e">
        <f t="shared" si="0"/>
        <v>#N/A</v>
      </c>
      <c r="I193" s="46"/>
    </row>
    <row r="194" spans="1:10">
      <c r="A194" s="40" t="s">
        <v>493</v>
      </c>
      <c r="B194" s="40" t="s">
        <v>494</v>
      </c>
      <c r="C194" s="41">
        <v>46091</v>
      </c>
      <c r="D194" s="42" t="s">
        <v>410</v>
      </c>
      <c r="E194" s="42" t="s">
        <v>411</v>
      </c>
      <c r="F194" s="43"/>
      <c r="G194" s="44">
        <v>46079</v>
      </c>
      <c r="H194" s="45" t="e">
        <f t="shared" si="0"/>
        <v>#N/A</v>
      </c>
      <c r="I194" s="43"/>
    </row>
    <row r="195" spans="1:10">
      <c r="A195" s="40" t="s">
        <v>493</v>
      </c>
      <c r="B195" s="40" t="s">
        <v>494</v>
      </c>
      <c r="C195" s="41">
        <v>46063</v>
      </c>
      <c r="D195" s="42" t="s">
        <v>410</v>
      </c>
      <c r="E195" s="42" t="s">
        <v>411</v>
      </c>
      <c r="F195" s="47">
        <v>1704.69</v>
      </c>
      <c r="G195" s="44">
        <v>46048</v>
      </c>
      <c r="H195" s="45" t="e">
        <f t="shared" si="0"/>
        <v>#N/A</v>
      </c>
      <c r="I195" s="46">
        <v>46055.723194444443</v>
      </c>
    </row>
    <row r="196" spans="1:10">
      <c r="A196" s="40" t="s">
        <v>493</v>
      </c>
      <c r="B196" s="40" t="s">
        <v>494</v>
      </c>
      <c r="C196" s="41">
        <v>46032</v>
      </c>
      <c r="D196" s="42" t="s">
        <v>410</v>
      </c>
      <c r="E196" s="42" t="s">
        <v>411</v>
      </c>
      <c r="F196" s="47">
        <v>1362.92</v>
      </c>
      <c r="G196" s="44">
        <v>46381</v>
      </c>
      <c r="H196" s="45" t="e">
        <f t="shared" si="0"/>
        <v>#N/A</v>
      </c>
      <c r="I196" s="46">
        <v>46023.607986111114</v>
      </c>
    </row>
    <row r="197" spans="1:10">
      <c r="A197" s="40" t="s">
        <v>493</v>
      </c>
      <c r="B197" s="40" t="s">
        <v>494</v>
      </c>
      <c r="C197" s="41">
        <v>46001</v>
      </c>
      <c r="D197" s="42" t="s">
        <v>410</v>
      </c>
      <c r="E197" s="42" t="s">
        <v>411</v>
      </c>
      <c r="F197" s="47">
        <v>865.62</v>
      </c>
      <c r="G197" s="44">
        <v>46351</v>
      </c>
      <c r="H197" s="45" t="e">
        <f t="shared" si="0"/>
        <v>#N/A</v>
      </c>
      <c r="I197" s="46">
        <v>46008.505243055559</v>
      </c>
    </row>
    <row r="198" spans="1:10">
      <c r="A198" s="40" t="s">
        <v>493</v>
      </c>
      <c r="B198" s="40" t="s">
        <v>494</v>
      </c>
      <c r="C198" s="41">
        <v>45971</v>
      </c>
      <c r="D198" s="42" t="s">
        <v>410</v>
      </c>
      <c r="E198" s="42" t="s">
        <v>411</v>
      </c>
      <c r="F198" s="47">
        <v>935.56</v>
      </c>
      <c r="G198" s="44">
        <v>46320</v>
      </c>
      <c r="H198" s="45" t="e">
        <f t="shared" si="0"/>
        <v>#N/A</v>
      </c>
      <c r="I198" s="46">
        <v>45970.664467592593</v>
      </c>
      <c r="J198" s="40" t="s">
        <v>495</v>
      </c>
    </row>
    <row r="199" spans="1:10">
      <c r="A199" s="40" t="s">
        <v>493</v>
      </c>
      <c r="B199" s="40" t="s">
        <v>494</v>
      </c>
      <c r="C199" s="41">
        <v>45940</v>
      </c>
      <c r="D199" s="42" t="s">
        <v>410</v>
      </c>
      <c r="E199" s="42" t="s">
        <v>411</v>
      </c>
      <c r="F199" s="47">
        <v>859.46</v>
      </c>
      <c r="G199" s="44">
        <v>46290</v>
      </c>
      <c r="H199" s="45" t="e">
        <f t="shared" si="0"/>
        <v>#N/A</v>
      </c>
      <c r="I199" s="46">
        <v>45970.658055555556</v>
      </c>
      <c r="J199" s="40" t="s">
        <v>496</v>
      </c>
    </row>
    <row r="200" spans="1:10">
      <c r="A200" s="40" t="s">
        <v>493</v>
      </c>
      <c r="B200" s="40" t="s">
        <v>494</v>
      </c>
      <c r="C200" s="41">
        <v>45910</v>
      </c>
      <c r="D200" s="42" t="s">
        <v>410</v>
      </c>
      <c r="E200" s="42" t="s">
        <v>411</v>
      </c>
      <c r="F200" s="47">
        <v>860.99</v>
      </c>
      <c r="G200" s="44">
        <v>46259</v>
      </c>
      <c r="H200" s="45" t="e">
        <f t="shared" si="0"/>
        <v>#N/A</v>
      </c>
      <c r="I200" s="46">
        <v>45970.650567129633</v>
      </c>
      <c r="J200" s="40" t="s">
        <v>497</v>
      </c>
    </row>
    <row r="201" spans="1:10">
      <c r="A201" s="40" t="s">
        <v>493</v>
      </c>
      <c r="B201" s="40" t="s">
        <v>494</v>
      </c>
      <c r="C201" s="41">
        <v>45879</v>
      </c>
      <c r="D201" s="42" t="s">
        <v>410</v>
      </c>
      <c r="E201" s="42" t="s">
        <v>411</v>
      </c>
      <c r="F201" s="47">
        <v>1209.53</v>
      </c>
      <c r="G201" s="44">
        <v>46228</v>
      </c>
      <c r="H201" s="45" t="e">
        <f t="shared" si="0"/>
        <v>#N/A</v>
      </c>
      <c r="I201" s="46">
        <v>45970.64435185185</v>
      </c>
      <c r="J201" s="40" t="s">
        <v>498</v>
      </c>
    </row>
    <row r="202" spans="1:10">
      <c r="A202" s="40" t="s">
        <v>493</v>
      </c>
      <c r="B202" s="40" t="s">
        <v>494</v>
      </c>
      <c r="C202" s="41">
        <v>45848</v>
      </c>
      <c r="D202" s="42" t="s">
        <v>410</v>
      </c>
      <c r="E202" s="42" t="s">
        <v>411</v>
      </c>
      <c r="F202" s="47">
        <v>888.11</v>
      </c>
      <c r="G202" s="44">
        <v>46198</v>
      </c>
      <c r="H202" s="45" t="e">
        <f t="shared" si="0"/>
        <v>#N/A</v>
      </c>
      <c r="I202" s="46">
        <v>45970.638182870367</v>
      </c>
      <c r="J202" s="40" t="s">
        <v>499</v>
      </c>
    </row>
    <row r="203" spans="1:10">
      <c r="A203" s="40" t="s">
        <v>493</v>
      </c>
      <c r="B203" s="40" t="s">
        <v>494</v>
      </c>
      <c r="C203" s="41">
        <v>45818</v>
      </c>
      <c r="D203" s="42" t="s">
        <v>410</v>
      </c>
      <c r="E203" s="42" t="s">
        <v>411</v>
      </c>
      <c r="F203" s="47">
        <v>966.57</v>
      </c>
      <c r="G203" s="44">
        <v>46167</v>
      </c>
      <c r="H203" s="45" t="e">
        <f t="shared" si="0"/>
        <v>#N/A</v>
      </c>
      <c r="I203" s="46">
        <v>45970.563969907409</v>
      </c>
      <c r="J203" s="40" t="s">
        <v>500</v>
      </c>
    </row>
    <row r="204" spans="1:10">
      <c r="A204" s="40" t="s">
        <v>493</v>
      </c>
      <c r="B204" s="40" t="s">
        <v>494</v>
      </c>
      <c r="C204" s="41">
        <v>45787</v>
      </c>
      <c r="D204" s="42" t="s">
        <v>410</v>
      </c>
      <c r="E204" s="42" t="s">
        <v>411</v>
      </c>
      <c r="F204" s="47">
        <v>944.99</v>
      </c>
      <c r="G204" s="44">
        <v>46137</v>
      </c>
      <c r="H204" s="45" t="e">
        <f t="shared" si="0"/>
        <v>#N/A</v>
      </c>
      <c r="I204" s="46">
        <v>45969.206701388888</v>
      </c>
      <c r="J204" s="40" t="s">
        <v>501</v>
      </c>
    </row>
    <row r="205" spans="1:10">
      <c r="A205" s="40" t="s">
        <v>493</v>
      </c>
      <c r="B205" s="40" t="s">
        <v>494</v>
      </c>
      <c r="C205" s="41">
        <v>45757</v>
      </c>
      <c r="D205" s="42" t="s">
        <v>410</v>
      </c>
      <c r="E205" s="42" t="s">
        <v>411</v>
      </c>
      <c r="F205" s="47">
        <v>1085.8599999999999</v>
      </c>
      <c r="G205" s="44">
        <v>46106</v>
      </c>
      <c r="H205" s="45" t="e">
        <f t="shared" si="0"/>
        <v>#N/A</v>
      </c>
      <c r="I205" s="46">
        <v>45970.556400462963</v>
      </c>
      <c r="J205" s="40" t="s">
        <v>502</v>
      </c>
    </row>
    <row r="206" spans="1:10">
      <c r="A206" s="40" t="s">
        <v>493</v>
      </c>
      <c r="B206" s="40" t="s">
        <v>494</v>
      </c>
      <c r="C206" s="41">
        <v>45726</v>
      </c>
      <c r="D206" s="42" t="s">
        <v>410</v>
      </c>
      <c r="E206" s="42" t="s">
        <v>411</v>
      </c>
      <c r="F206" s="47">
        <v>1118.3699999999999</v>
      </c>
      <c r="G206" s="44">
        <v>46078</v>
      </c>
      <c r="H206" s="45" t="e">
        <f t="shared" si="0"/>
        <v>#N/A</v>
      </c>
      <c r="I206" s="46">
        <v>45970.177199074074</v>
      </c>
      <c r="J206" s="40" t="s">
        <v>503</v>
      </c>
    </row>
    <row r="207" spans="1:10">
      <c r="A207" s="40" t="s">
        <v>493</v>
      </c>
      <c r="B207" s="40" t="s">
        <v>494</v>
      </c>
      <c r="C207" s="41">
        <v>45698</v>
      </c>
      <c r="D207" s="42" t="s">
        <v>410</v>
      </c>
      <c r="E207" s="42" t="s">
        <v>411</v>
      </c>
      <c r="F207" s="47">
        <v>1539.79</v>
      </c>
      <c r="G207" s="44">
        <v>46047</v>
      </c>
      <c r="H207" s="45" t="e">
        <f t="shared" si="0"/>
        <v>#N/A</v>
      </c>
      <c r="I207" s="46">
        <v>45970.147118055553</v>
      </c>
      <c r="J207" s="40" t="s">
        <v>504</v>
      </c>
    </row>
    <row r="208" spans="1:10">
      <c r="A208" s="40" t="s">
        <v>505</v>
      </c>
      <c r="B208" s="40" t="s">
        <v>506</v>
      </c>
      <c r="C208" s="41">
        <v>46122</v>
      </c>
      <c r="D208" s="42" t="s">
        <v>410</v>
      </c>
      <c r="E208" s="42" t="s">
        <v>411</v>
      </c>
      <c r="F208" s="43"/>
      <c r="G208" s="44">
        <v>46107</v>
      </c>
      <c r="H208" s="45" t="e">
        <f t="shared" si="0"/>
        <v>#N/A</v>
      </c>
      <c r="I208" s="46"/>
    </row>
    <row r="209" spans="1:10">
      <c r="A209" s="40" t="s">
        <v>505</v>
      </c>
      <c r="B209" s="40" t="s">
        <v>506</v>
      </c>
      <c r="C209" s="41">
        <v>46091</v>
      </c>
      <c r="D209" s="42" t="s">
        <v>410</v>
      </c>
      <c r="E209" s="42" t="s">
        <v>411</v>
      </c>
      <c r="F209" s="43"/>
      <c r="G209" s="44">
        <v>46079</v>
      </c>
      <c r="H209" s="45" t="e">
        <f t="shared" si="0"/>
        <v>#N/A</v>
      </c>
      <c r="I209" s="43"/>
    </row>
    <row r="210" spans="1:10">
      <c r="A210" s="40" t="s">
        <v>505</v>
      </c>
      <c r="B210" s="40" t="s">
        <v>506</v>
      </c>
      <c r="C210" s="41">
        <v>46063</v>
      </c>
      <c r="D210" s="42" t="s">
        <v>410</v>
      </c>
      <c r="E210" s="42" t="s">
        <v>411</v>
      </c>
      <c r="F210" s="47">
        <v>14035613.199999999</v>
      </c>
      <c r="G210" s="44">
        <v>46048</v>
      </c>
      <c r="H210" s="45" t="e">
        <f t="shared" si="0"/>
        <v>#N/A</v>
      </c>
      <c r="I210" s="46">
        <v>46063.633668981478</v>
      </c>
      <c r="J210" s="40" t="s">
        <v>507</v>
      </c>
    </row>
    <row r="211" spans="1:10">
      <c r="A211" s="40" t="s">
        <v>505</v>
      </c>
      <c r="B211" s="40" t="s">
        <v>506</v>
      </c>
      <c r="C211" s="41">
        <v>46032</v>
      </c>
      <c r="D211" s="42" t="s">
        <v>410</v>
      </c>
      <c r="E211" s="42" t="s">
        <v>411</v>
      </c>
      <c r="F211" s="47">
        <v>11156512.26</v>
      </c>
      <c r="G211" s="44">
        <v>46381</v>
      </c>
      <c r="H211" s="45" t="e">
        <f t="shared" si="0"/>
        <v>#N/A</v>
      </c>
      <c r="I211" s="46">
        <v>46032.409594907411</v>
      </c>
    </row>
    <row r="212" spans="1:10">
      <c r="A212" s="40" t="s">
        <v>505</v>
      </c>
      <c r="B212" s="40" t="s">
        <v>506</v>
      </c>
      <c r="C212" s="41">
        <v>46001</v>
      </c>
      <c r="D212" s="42" t="s">
        <v>410</v>
      </c>
      <c r="E212" s="42" t="s">
        <v>411</v>
      </c>
      <c r="F212" s="47">
        <v>6749283.1200000001</v>
      </c>
      <c r="G212" s="44">
        <v>46351</v>
      </c>
      <c r="H212" s="45" t="e">
        <f t="shared" si="0"/>
        <v>#N/A</v>
      </c>
      <c r="I212" s="46">
        <v>46002.628622685188</v>
      </c>
    </row>
    <row r="213" spans="1:10">
      <c r="A213" s="40" t="s">
        <v>505</v>
      </c>
      <c r="B213" s="40" t="s">
        <v>506</v>
      </c>
      <c r="C213" s="41">
        <v>45971</v>
      </c>
      <c r="D213" s="42" t="s">
        <v>410</v>
      </c>
      <c r="E213" s="42" t="s">
        <v>411</v>
      </c>
      <c r="F213" s="47">
        <v>7550517.7400000002</v>
      </c>
      <c r="G213" s="44">
        <v>46320</v>
      </c>
      <c r="H213" s="45" t="e">
        <f t="shared" si="0"/>
        <v>#N/A</v>
      </c>
      <c r="I213" s="46">
        <v>45969.273043981484</v>
      </c>
    </row>
    <row r="214" spans="1:10">
      <c r="A214" s="40" t="s">
        <v>505</v>
      </c>
      <c r="B214" s="40" t="s">
        <v>506</v>
      </c>
      <c r="C214" s="41">
        <v>45940</v>
      </c>
      <c r="D214" s="42" t="s">
        <v>410</v>
      </c>
      <c r="E214" s="42" t="s">
        <v>411</v>
      </c>
      <c r="F214" s="47">
        <v>6745066.5499999998</v>
      </c>
      <c r="G214" s="44">
        <v>46290</v>
      </c>
      <c r="H214" s="45" t="e">
        <f t="shared" si="0"/>
        <v>#N/A</v>
      </c>
      <c r="I214" s="46">
        <v>45969.273252314815</v>
      </c>
    </row>
    <row r="215" spans="1:10">
      <c r="A215" s="40" t="s">
        <v>505</v>
      </c>
      <c r="B215" s="40" t="s">
        <v>506</v>
      </c>
      <c r="C215" s="41">
        <v>45910</v>
      </c>
      <c r="D215" s="42" t="s">
        <v>410</v>
      </c>
      <c r="E215" s="42" t="s">
        <v>411</v>
      </c>
      <c r="F215" s="47">
        <v>7004805.1600000001</v>
      </c>
      <c r="G215" s="44">
        <v>46259</v>
      </c>
      <c r="H215" s="45" t="e">
        <f t="shared" si="0"/>
        <v>#N/A</v>
      </c>
      <c r="I215" s="46">
        <v>45951.752199074072</v>
      </c>
    </row>
    <row r="216" spans="1:10">
      <c r="A216" s="40" t="s">
        <v>505</v>
      </c>
      <c r="B216" s="40" t="s">
        <v>506</v>
      </c>
      <c r="C216" s="41">
        <v>45879</v>
      </c>
      <c r="D216" s="42" t="s">
        <v>410</v>
      </c>
      <c r="E216" s="42" t="s">
        <v>411</v>
      </c>
      <c r="F216" s="47">
        <v>9586347.4199999999</v>
      </c>
      <c r="G216" s="44">
        <v>46228</v>
      </c>
      <c r="H216" s="45" t="e">
        <f t="shared" si="0"/>
        <v>#N/A</v>
      </c>
      <c r="I216" s="46">
        <v>45969.273541666669</v>
      </c>
    </row>
    <row r="217" spans="1:10">
      <c r="A217" s="40" t="s">
        <v>505</v>
      </c>
      <c r="B217" s="40" t="s">
        <v>506</v>
      </c>
      <c r="C217" s="41">
        <v>45848</v>
      </c>
      <c r="D217" s="42" t="s">
        <v>410</v>
      </c>
      <c r="E217" s="42" t="s">
        <v>411</v>
      </c>
      <c r="F217" s="47">
        <v>6732883.5899999999</v>
      </c>
      <c r="G217" s="44">
        <v>46198</v>
      </c>
      <c r="H217" s="45" t="e">
        <f t="shared" si="0"/>
        <v>#N/A</v>
      </c>
      <c r="I217" s="46">
        <v>45969.570219907408</v>
      </c>
    </row>
    <row r="218" spans="1:10">
      <c r="A218" s="40" t="s">
        <v>505</v>
      </c>
      <c r="B218" s="40" t="s">
        <v>506</v>
      </c>
      <c r="C218" s="41">
        <v>45818</v>
      </c>
      <c r="D218" s="42" t="s">
        <v>410</v>
      </c>
      <c r="E218" s="42" t="s">
        <v>411</v>
      </c>
      <c r="F218" s="47">
        <v>7539227.3799999999</v>
      </c>
      <c r="G218" s="44">
        <v>46167</v>
      </c>
      <c r="H218" s="45" t="e">
        <f t="shared" si="0"/>
        <v>#N/A</v>
      </c>
      <c r="I218" s="46">
        <v>45969.570023148146</v>
      </c>
    </row>
    <row r="219" spans="1:10">
      <c r="A219" s="40" t="s">
        <v>505</v>
      </c>
      <c r="B219" s="40" t="s">
        <v>506</v>
      </c>
      <c r="C219" s="41">
        <v>45787</v>
      </c>
      <c r="D219" s="42" t="s">
        <v>410</v>
      </c>
      <c r="E219" s="42" t="s">
        <v>411</v>
      </c>
      <c r="F219" s="47">
        <v>7287253.5800000001</v>
      </c>
      <c r="G219" s="44">
        <v>46137</v>
      </c>
      <c r="H219" s="45" t="e">
        <f t="shared" si="0"/>
        <v>#N/A</v>
      </c>
      <c r="I219" s="46">
        <v>45969.56994212963</v>
      </c>
    </row>
    <row r="220" spans="1:10">
      <c r="A220" s="40" t="s">
        <v>505</v>
      </c>
      <c r="B220" s="40" t="s">
        <v>506</v>
      </c>
      <c r="C220" s="41">
        <v>45757</v>
      </c>
      <c r="D220" s="42" t="s">
        <v>410</v>
      </c>
      <c r="E220" s="42" t="s">
        <v>411</v>
      </c>
      <c r="F220" s="47">
        <v>8972755.9600000009</v>
      </c>
      <c r="G220" s="44">
        <v>46106</v>
      </c>
      <c r="H220" s="45" t="e">
        <f t="shared" si="0"/>
        <v>#N/A</v>
      </c>
      <c r="I220" s="46">
        <v>45969.569849537038</v>
      </c>
    </row>
    <row r="221" spans="1:10">
      <c r="A221" s="40" t="s">
        <v>505</v>
      </c>
      <c r="B221" s="40" t="s">
        <v>506</v>
      </c>
      <c r="C221" s="41">
        <v>45726</v>
      </c>
      <c r="D221" s="42" t="s">
        <v>410</v>
      </c>
      <c r="E221" s="42" t="s">
        <v>411</v>
      </c>
      <c r="F221" s="47">
        <v>8371442.8099999996</v>
      </c>
      <c r="G221" s="44">
        <v>46078</v>
      </c>
      <c r="H221" s="45" t="e">
        <f t="shared" si="0"/>
        <v>#N/A</v>
      </c>
      <c r="I221" s="46">
        <v>45969.569768518515</v>
      </c>
    </row>
    <row r="222" spans="1:10">
      <c r="A222" s="40" t="s">
        <v>505</v>
      </c>
      <c r="B222" s="40" t="s">
        <v>506</v>
      </c>
      <c r="C222" s="41">
        <v>45698</v>
      </c>
      <c r="D222" s="42" t="s">
        <v>410</v>
      </c>
      <c r="E222" s="42" t="s">
        <v>411</v>
      </c>
      <c r="F222" s="47">
        <v>12756318.43</v>
      </c>
      <c r="G222" s="44">
        <v>46047</v>
      </c>
      <c r="H222" s="45" t="e">
        <f t="shared" si="0"/>
        <v>#N/A</v>
      </c>
      <c r="I222" s="46">
        <v>45969.569687499999</v>
      </c>
    </row>
    <row r="223" spans="1:10">
      <c r="A223" s="40" t="s">
        <v>508</v>
      </c>
      <c r="B223" s="40" t="s">
        <v>509</v>
      </c>
      <c r="C223" s="41">
        <v>46122</v>
      </c>
      <c r="D223" s="42" t="s">
        <v>410</v>
      </c>
      <c r="E223" s="42" t="s">
        <v>411</v>
      </c>
      <c r="F223" s="43"/>
      <c r="G223" s="44">
        <v>46107</v>
      </c>
      <c r="H223" s="45" t="e">
        <f t="shared" si="0"/>
        <v>#N/A</v>
      </c>
      <c r="I223" s="46"/>
    </row>
    <row r="224" spans="1:10">
      <c r="A224" s="40" t="s">
        <v>508</v>
      </c>
      <c r="B224" s="40" t="s">
        <v>509</v>
      </c>
      <c r="C224" s="41">
        <v>46091</v>
      </c>
      <c r="D224" s="42" t="s">
        <v>410</v>
      </c>
      <c r="E224" s="42" t="s">
        <v>411</v>
      </c>
      <c r="F224" s="43"/>
      <c r="G224" s="44">
        <v>46079</v>
      </c>
      <c r="H224" s="45" t="e">
        <f t="shared" si="0"/>
        <v>#N/A</v>
      </c>
      <c r="I224" s="43"/>
    </row>
    <row r="225" spans="1:10">
      <c r="A225" s="40" t="s">
        <v>508</v>
      </c>
      <c r="B225" s="40" t="s">
        <v>509</v>
      </c>
      <c r="C225" s="41">
        <v>46063</v>
      </c>
      <c r="D225" s="42" t="s">
        <v>410</v>
      </c>
      <c r="E225" s="42" t="s">
        <v>411</v>
      </c>
      <c r="F225" s="47">
        <v>142.32</v>
      </c>
      <c r="G225" s="44">
        <v>46048</v>
      </c>
      <c r="H225" s="45" t="e">
        <f t="shared" si="0"/>
        <v>#N/A</v>
      </c>
      <c r="I225" s="46">
        <v>46076.373645833337</v>
      </c>
      <c r="J225" s="40" t="s">
        <v>510</v>
      </c>
    </row>
    <row r="226" spans="1:10">
      <c r="A226" s="40" t="s">
        <v>508</v>
      </c>
      <c r="B226" s="40" t="s">
        <v>509</v>
      </c>
      <c r="C226" s="41">
        <v>46032</v>
      </c>
      <c r="D226" s="42" t="s">
        <v>410</v>
      </c>
      <c r="E226" s="42" t="s">
        <v>411</v>
      </c>
      <c r="F226" s="47">
        <v>104.73</v>
      </c>
      <c r="G226" s="44">
        <v>46381</v>
      </c>
      <c r="H226" s="45" t="e">
        <f t="shared" si="0"/>
        <v>#N/A</v>
      </c>
      <c r="I226" s="46">
        <v>46035.386932870373</v>
      </c>
    </row>
    <row r="227" spans="1:10">
      <c r="A227" s="40" t="s">
        <v>508</v>
      </c>
      <c r="B227" s="40" t="s">
        <v>509</v>
      </c>
      <c r="C227" s="41">
        <v>46001</v>
      </c>
      <c r="D227" s="42" t="s">
        <v>410</v>
      </c>
      <c r="E227" s="42" t="s">
        <v>411</v>
      </c>
      <c r="F227" s="47">
        <v>69.900000000000006</v>
      </c>
      <c r="G227" s="44">
        <v>46351</v>
      </c>
      <c r="H227" s="45" t="e">
        <f t="shared" si="0"/>
        <v>#N/A</v>
      </c>
      <c r="I227" s="46">
        <v>45996.466793981483</v>
      </c>
    </row>
    <row r="228" spans="1:10">
      <c r="A228" s="40" t="s">
        <v>508</v>
      </c>
      <c r="B228" s="40" t="s">
        <v>509</v>
      </c>
      <c r="C228" s="41">
        <v>45971</v>
      </c>
      <c r="D228" s="42" t="s">
        <v>410</v>
      </c>
      <c r="E228" s="42" t="s">
        <v>411</v>
      </c>
      <c r="F228" s="47">
        <v>114.76</v>
      </c>
      <c r="G228" s="44">
        <v>46320</v>
      </c>
      <c r="H228" s="45" t="e">
        <f t="shared" si="0"/>
        <v>#N/A</v>
      </c>
      <c r="I228" s="46">
        <v>45981.329629629632</v>
      </c>
    </row>
    <row r="229" spans="1:10">
      <c r="A229" s="40" t="s">
        <v>508</v>
      </c>
      <c r="B229" s="40" t="s">
        <v>509</v>
      </c>
      <c r="C229" s="41">
        <v>45940</v>
      </c>
      <c r="D229" s="42" t="s">
        <v>410</v>
      </c>
      <c r="E229" s="42" t="s">
        <v>411</v>
      </c>
      <c r="F229" s="47">
        <v>94.51</v>
      </c>
      <c r="G229" s="44">
        <v>46290</v>
      </c>
      <c r="H229" s="45" t="e">
        <f t="shared" si="0"/>
        <v>#N/A</v>
      </c>
      <c r="I229" s="46">
        <v>45981.329548611109</v>
      </c>
    </row>
    <row r="230" spans="1:10">
      <c r="A230" s="40" t="s">
        <v>508</v>
      </c>
      <c r="B230" s="40" t="s">
        <v>509</v>
      </c>
      <c r="C230" s="41">
        <v>45910</v>
      </c>
      <c r="D230" s="42" t="s">
        <v>410</v>
      </c>
      <c r="E230" s="42" t="s">
        <v>411</v>
      </c>
      <c r="F230" s="47">
        <v>99.38</v>
      </c>
      <c r="G230" s="44">
        <v>46259</v>
      </c>
      <c r="H230" s="45" t="e">
        <f t="shared" si="0"/>
        <v>#N/A</v>
      </c>
      <c r="I230" s="46">
        <v>45981.329456018517</v>
      </c>
    </row>
    <row r="231" spans="1:10">
      <c r="A231" s="40" t="s">
        <v>508</v>
      </c>
      <c r="B231" s="40" t="s">
        <v>509</v>
      </c>
      <c r="C231" s="41">
        <v>45879</v>
      </c>
      <c r="D231" s="42" t="s">
        <v>410</v>
      </c>
      <c r="E231" s="42" t="s">
        <v>411</v>
      </c>
      <c r="F231" s="47">
        <v>113.2</v>
      </c>
      <c r="G231" s="44">
        <v>46228</v>
      </c>
      <c r="H231" s="45" t="e">
        <f t="shared" si="0"/>
        <v>#N/A</v>
      </c>
      <c r="I231" s="46">
        <v>45981.329351851855</v>
      </c>
      <c r="J231" s="40" t="s">
        <v>511</v>
      </c>
    </row>
    <row r="232" spans="1:10">
      <c r="A232" s="40" t="s">
        <v>508</v>
      </c>
      <c r="B232" s="40" t="s">
        <v>509</v>
      </c>
      <c r="C232" s="41">
        <v>45848</v>
      </c>
      <c r="D232" s="42" t="s">
        <v>410</v>
      </c>
      <c r="E232" s="42" t="s">
        <v>411</v>
      </c>
      <c r="F232" s="47">
        <v>114.13</v>
      </c>
      <c r="G232" s="44">
        <v>46198</v>
      </c>
      <c r="H232" s="45" t="e">
        <f t="shared" si="0"/>
        <v>#N/A</v>
      </c>
      <c r="I232" s="46">
        <v>45981.329270833332</v>
      </c>
      <c r="J232" s="40" t="s">
        <v>511</v>
      </c>
    </row>
    <row r="233" spans="1:10">
      <c r="A233" s="40" t="s">
        <v>508</v>
      </c>
      <c r="B233" s="40" t="s">
        <v>509</v>
      </c>
      <c r="C233" s="41">
        <v>45818</v>
      </c>
      <c r="D233" s="42" t="s">
        <v>410</v>
      </c>
      <c r="E233" s="42" t="s">
        <v>411</v>
      </c>
      <c r="F233" s="47">
        <v>89.54</v>
      </c>
      <c r="G233" s="44">
        <v>46167</v>
      </c>
      <c r="H233" s="45" t="e">
        <f t="shared" si="0"/>
        <v>#N/A</v>
      </c>
      <c r="I233" s="46">
        <v>45981.32916666667</v>
      </c>
    </row>
    <row r="234" spans="1:10">
      <c r="A234" s="40" t="s">
        <v>508</v>
      </c>
      <c r="B234" s="40" t="s">
        <v>509</v>
      </c>
      <c r="C234" s="41">
        <v>45787</v>
      </c>
      <c r="D234" s="42" t="s">
        <v>410</v>
      </c>
      <c r="E234" s="42" t="s">
        <v>411</v>
      </c>
      <c r="F234" s="47">
        <v>109.95</v>
      </c>
      <c r="G234" s="44">
        <v>46137</v>
      </c>
      <c r="H234" s="45" t="e">
        <f t="shared" si="0"/>
        <v>#N/A</v>
      </c>
      <c r="I234" s="46">
        <v>45981.329062500001</v>
      </c>
    </row>
    <row r="235" spans="1:10">
      <c r="A235" s="40" t="s">
        <v>508</v>
      </c>
      <c r="B235" s="40" t="s">
        <v>509</v>
      </c>
      <c r="C235" s="41">
        <v>45757</v>
      </c>
      <c r="D235" s="42" t="s">
        <v>410</v>
      </c>
      <c r="E235" s="42" t="s">
        <v>411</v>
      </c>
      <c r="F235" s="47">
        <v>100.23</v>
      </c>
      <c r="G235" s="44">
        <v>46106</v>
      </c>
      <c r="H235" s="45" t="e">
        <f t="shared" si="0"/>
        <v>#N/A</v>
      </c>
      <c r="I235" s="46">
        <v>45981.328969907408</v>
      </c>
    </row>
    <row r="236" spans="1:10">
      <c r="A236" s="40" t="s">
        <v>508</v>
      </c>
      <c r="B236" s="40" t="s">
        <v>509</v>
      </c>
      <c r="C236" s="41">
        <v>45726</v>
      </c>
      <c r="D236" s="42" t="s">
        <v>410</v>
      </c>
      <c r="E236" s="42" t="s">
        <v>411</v>
      </c>
      <c r="F236" s="47">
        <v>165.53</v>
      </c>
      <c r="G236" s="44">
        <v>46078</v>
      </c>
      <c r="H236" s="45" t="e">
        <f t="shared" si="0"/>
        <v>#N/A</v>
      </c>
      <c r="I236" s="46">
        <v>45981.32885416667</v>
      </c>
      <c r="J236" s="40" t="s">
        <v>511</v>
      </c>
    </row>
    <row r="237" spans="1:10">
      <c r="A237" s="40" t="s">
        <v>508</v>
      </c>
      <c r="B237" s="40" t="s">
        <v>509</v>
      </c>
      <c r="C237" s="41">
        <v>45698</v>
      </c>
      <c r="D237" s="42" t="s">
        <v>410</v>
      </c>
      <c r="E237" s="42" t="s">
        <v>411</v>
      </c>
      <c r="F237" s="47">
        <v>108.65</v>
      </c>
      <c r="G237" s="44">
        <v>46047</v>
      </c>
      <c r="H237" s="45" t="e">
        <f t="shared" si="0"/>
        <v>#N/A</v>
      </c>
      <c r="I237" s="46">
        <v>45981.328773148147</v>
      </c>
    </row>
    <row r="238" spans="1:10">
      <c r="A238" s="40" t="s">
        <v>512</v>
      </c>
      <c r="B238" s="40" t="s">
        <v>513</v>
      </c>
      <c r="C238" s="41">
        <v>46122</v>
      </c>
      <c r="D238" s="42" t="s">
        <v>410</v>
      </c>
      <c r="E238" s="42" t="s">
        <v>411</v>
      </c>
      <c r="F238" s="43"/>
      <c r="G238" s="44">
        <v>46107</v>
      </c>
      <c r="H238" s="45" t="e">
        <f t="shared" si="0"/>
        <v>#N/A</v>
      </c>
      <c r="I238" s="46"/>
    </row>
    <row r="239" spans="1:10">
      <c r="A239" s="40" t="s">
        <v>512</v>
      </c>
      <c r="B239" s="40" t="s">
        <v>513</v>
      </c>
      <c r="C239" s="41">
        <v>46091</v>
      </c>
      <c r="D239" s="42" t="s">
        <v>410</v>
      </c>
      <c r="E239" s="42" t="s">
        <v>411</v>
      </c>
      <c r="F239" s="43"/>
      <c r="G239" s="44">
        <v>46079</v>
      </c>
      <c r="H239" s="45" t="e">
        <f t="shared" si="0"/>
        <v>#N/A</v>
      </c>
      <c r="I239" s="43"/>
    </row>
    <row r="240" spans="1:10">
      <c r="A240" s="40" t="s">
        <v>512</v>
      </c>
      <c r="B240" s="40" t="s">
        <v>513</v>
      </c>
      <c r="C240" s="41">
        <v>46063</v>
      </c>
      <c r="D240" s="42" t="s">
        <v>410</v>
      </c>
      <c r="E240" s="42" t="s">
        <v>411</v>
      </c>
      <c r="F240" s="47">
        <v>785776.9</v>
      </c>
      <c r="G240" s="44">
        <v>46048</v>
      </c>
      <c r="H240" s="45" t="e">
        <f t="shared" si="0"/>
        <v>#N/A</v>
      </c>
      <c r="I240" s="46">
        <v>46076.363217592596</v>
      </c>
      <c r="J240" s="40" t="s">
        <v>514</v>
      </c>
    </row>
    <row r="241" spans="1:10">
      <c r="A241" s="40" t="s">
        <v>512</v>
      </c>
      <c r="B241" s="40" t="s">
        <v>513</v>
      </c>
      <c r="C241" s="41">
        <v>46032</v>
      </c>
      <c r="D241" s="42" t="s">
        <v>410</v>
      </c>
      <c r="E241" s="42" t="s">
        <v>411</v>
      </c>
      <c r="F241" s="47">
        <v>513481.15</v>
      </c>
      <c r="G241" s="44">
        <v>46381</v>
      </c>
      <c r="H241" s="45" t="e">
        <f t="shared" si="0"/>
        <v>#N/A</v>
      </c>
      <c r="I241" s="46">
        <v>46035.373726851853</v>
      </c>
    </row>
    <row r="242" spans="1:10">
      <c r="A242" s="40" t="s">
        <v>512</v>
      </c>
      <c r="B242" s="40" t="s">
        <v>513</v>
      </c>
      <c r="C242" s="41">
        <v>46001</v>
      </c>
      <c r="D242" s="42" t="s">
        <v>410</v>
      </c>
      <c r="E242" s="42" t="s">
        <v>411</v>
      </c>
      <c r="F242" s="47">
        <v>689120.78</v>
      </c>
      <c r="G242" s="44">
        <v>46351</v>
      </c>
      <c r="H242" s="45" t="e">
        <f t="shared" si="0"/>
        <v>#N/A</v>
      </c>
      <c r="I242" s="46">
        <v>45996.465694444443</v>
      </c>
    </row>
    <row r="243" spans="1:10">
      <c r="A243" s="40" t="s">
        <v>512</v>
      </c>
      <c r="B243" s="40" t="s">
        <v>513</v>
      </c>
      <c r="C243" s="41">
        <v>45971</v>
      </c>
      <c r="D243" s="42" t="s">
        <v>410</v>
      </c>
      <c r="E243" s="42" t="s">
        <v>411</v>
      </c>
      <c r="F243" s="47">
        <v>494137.14</v>
      </c>
      <c r="G243" s="44">
        <v>46320</v>
      </c>
      <c r="H243" s="45" t="e">
        <f t="shared" si="0"/>
        <v>#N/A</v>
      </c>
      <c r="I243" s="46">
        <v>45981.322442129633</v>
      </c>
    </row>
    <row r="244" spans="1:10">
      <c r="A244" s="40" t="s">
        <v>512</v>
      </c>
      <c r="B244" s="40" t="s">
        <v>513</v>
      </c>
      <c r="C244" s="41">
        <v>45940</v>
      </c>
      <c r="D244" s="42" t="s">
        <v>410</v>
      </c>
      <c r="E244" s="42" t="s">
        <v>411</v>
      </c>
      <c r="F244" s="47">
        <v>367741.41</v>
      </c>
      <c r="G244" s="44">
        <v>46290</v>
      </c>
      <c r="H244" s="45" t="e">
        <f t="shared" si="0"/>
        <v>#N/A</v>
      </c>
      <c r="I244" s="46">
        <v>45981.32234953704</v>
      </c>
    </row>
    <row r="245" spans="1:10">
      <c r="A245" s="40" t="s">
        <v>512</v>
      </c>
      <c r="B245" s="40" t="s">
        <v>513</v>
      </c>
      <c r="C245" s="41">
        <v>45910</v>
      </c>
      <c r="D245" s="42" t="s">
        <v>410</v>
      </c>
      <c r="E245" s="42" t="s">
        <v>411</v>
      </c>
      <c r="F245" s="47">
        <v>319435.33</v>
      </c>
      <c r="G245" s="44">
        <v>46259</v>
      </c>
      <c r="H245" s="45" t="e">
        <f t="shared" si="0"/>
        <v>#N/A</v>
      </c>
      <c r="I245" s="46">
        <v>46007.380578703705</v>
      </c>
    </row>
    <row r="246" spans="1:10">
      <c r="A246" s="40" t="s">
        <v>512</v>
      </c>
      <c r="B246" s="40" t="s">
        <v>513</v>
      </c>
      <c r="C246" s="41">
        <v>45879</v>
      </c>
      <c r="D246" s="42" t="s">
        <v>410</v>
      </c>
      <c r="E246" s="42" t="s">
        <v>411</v>
      </c>
      <c r="F246" s="47">
        <v>283104.59999999998</v>
      </c>
      <c r="G246" s="44">
        <v>46228</v>
      </c>
      <c r="H246" s="45" t="e">
        <f t="shared" si="0"/>
        <v>#N/A</v>
      </c>
      <c r="I246" s="46">
        <v>45981.322118055556</v>
      </c>
    </row>
    <row r="247" spans="1:10">
      <c r="A247" s="40" t="s">
        <v>512</v>
      </c>
      <c r="B247" s="40" t="s">
        <v>513</v>
      </c>
      <c r="C247" s="41">
        <v>45848</v>
      </c>
      <c r="D247" s="42" t="s">
        <v>410</v>
      </c>
      <c r="E247" s="42" t="s">
        <v>411</v>
      </c>
      <c r="F247" s="47">
        <v>147002.97</v>
      </c>
      <c r="G247" s="44">
        <v>46198</v>
      </c>
      <c r="H247" s="45" t="e">
        <f t="shared" si="0"/>
        <v>#N/A</v>
      </c>
      <c r="I247" s="46">
        <v>45981.321412037039</v>
      </c>
    </row>
    <row r="248" spans="1:10">
      <c r="A248" s="40" t="s">
        <v>512</v>
      </c>
      <c r="B248" s="40" t="s">
        <v>513</v>
      </c>
      <c r="C248" s="41">
        <v>45818</v>
      </c>
      <c r="D248" s="42" t="s">
        <v>410</v>
      </c>
      <c r="E248" s="42" t="s">
        <v>411</v>
      </c>
      <c r="F248" s="47">
        <v>178188.78</v>
      </c>
      <c r="G248" s="44">
        <v>46167</v>
      </c>
      <c r="H248" s="45" t="e">
        <f t="shared" si="0"/>
        <v>#N/A</v>
      </c>
      <c r="I248" s="46">
        <v>45981.321319444447</v>
      </c>
    </row>
    <row r="249" spans="1:10">
      <c r="A249" s="40" t="s">
        <v>512</v>
      </c>
      <c r="B249" s="40" t="s">
        <v>513</v>
      </c>
      <c r="C249" s="41">
        <v>45787</v>
      </c>
      <c r="D249" s="42" t="s">
        <v>410</v>
      </c>
      <c r="E249" s="42" t="s">
        <v>411</v>
      </c>
      <c r="F249" s="47">
        <v>339860.07</v>
      </c>
      <c r="G249" s="44">
        <v>46137</v>
      </c>
      <c r="H249" s="45" t="e">
        <f t="shared" si="0"/>
        <v>#N/A</v>
      </c>
      <c r="I249" s="46">
        <v>45981.321226851855</v>
      </c>
    </row>
    <row r="250" spans="1:10">
      <c r="A250" s="40" t="s">
        <v>512</v>
      </c>
      <c r="B250" s="40" t="s">
        <v>513</v>
      </c>
      <c r="C250" s="41">
        <v>45757</v>
      </c>
      <c r="D250" s="42" t="s">
        <v>410</v>
      </c>
      <c r="E250" s="42" t="s">
        <v>411</v>
      </c>
      <c r="F250" s="47">
        <v>410130.85</v>
      </c>
      <c r="G250" s="44">
        <v>46106</v>
      </c>
      <c r="H250" s="45" t="e">
        <f t="shared" si="0"/>
        <v>#N/A</v>
      </c>
      <c r="I250" s="46">
        <v>45981.321134259262</v>
      </c>
    </row>
    <row r="251" spans="1:10">
      <c r="A251" s="40" t="s">
        <v>512</v>
      </c>
      <c r="B251" s="40" t="s">
        <v>513</v>
      </c>
      <c r="C251" s="41">
        <v>45726</v>
      </c>
      <c r="D251" s="42" t="s">
        <v>410</v>
      </c>
      <c r="E251" s="42" t="s">
        <v>411</v>
      </c>
      <c r="F251" s="47">
        <v>282893.09000000003</v>
      </c>
      <c r="G251" s="44">
        <v>46078</v>
      </c>
      <c r="H251" s="45" t="e">
        <f t="shared" si="0"/>
        <v>#N/A</v>
      </c>
      <c r="I251" s="46">
        <v>45981.321030092593</v>
      </c>
    </row>
    <row r="252" spans="1:10">
      <c r="A252" s="40" t="s">
        <v>512</v>
      </c>
      <c r="B252" s="40" t="s">
        <v>513</v>
      </c>
      <c r="C252" s="41">
        <v>45698</v>
      </c>
      <c r="D252" s="42" t="s">
        <v>410</v>
      </c>
      <c r="E252" s="42" t="s">
        <v>411</v>
      </c>
      <c r="F252" s="47">
        <v>837128.99</v>
      </c>
      <c r="G252" s="44">
        <v>46047</v>
      </c>
      <c r="H252" s="45" t="e">
        <f t="shared" si="0"/>
        <v>#N/A</v>
      </c>
      <c r="I252" s="46">
        <v>45981.320902777778</v>
      </c>
    </row>
    <row r="253" spans="1:10">
      <c r="A253" s="40" t="s">
        <v>515</v>
      </c>
      <c r="B253" s="40" t="s">
        <v>516</v>
      </c>
      <c r="C253" s="41">
        <v>46122</v>
      </c>
      <c r="D253" s="42" t="s">
        <v>410</v>
      </c>
      <c r="E253" s="42" t="s">
        <v>411</v>
      </c>
      <c r="F253" s="43"/>
      <c r="G253" s="44">
        <v>46107</v>
      </c>
      <c r="H253" s="45" t="e">
        <f t="shared" si="0"/>
        <v>#N/A</v>
      </c>
      <c r="I253" s="46"/>
    </row>
    <row r="254" spans="1:10">
      <c r="A254" s="40" t="s">
        <v>515</v>
      </c>
      <c r="B254" s="40" t="s">
        <v>516</v>
      </c>
      <c r="C254" s="41">
        <v>46091</v>
      </c>
      <c r="D254" s="42" t="s">
        <v>410</v>
      </c>
      <c r="E254" s="42" t="s">
        <v>411</v>
      </c>
      <c r="F254" s="43"/>
      <c r="G254" s="44">
        <v>46079</v>
      </c>
      <c r="H254" s="45" t="e">
        <f t="shared" si="0"/>
        <v>#N/A</v>
      </c>
      <c r="I254" s="43"/>
    </row>
    <row r="255" spans="1:10">
      <c r="A255" s="40" t="s">
        <v>515</v>
      </c>
      <c r="B255" s="40" t="s">
        <v>516</v>
      </c>
      <c r="C255" s="41">
        <v>46063</v>
      </c>
      <c r="D255" s="42" t="s">
        <v>410</v>
      </c>
      <c r="E255" s="42" t="s">
        <v>411</v>
      </c>
      <c r="F255" s="47">
        <v>99540</v>
      </c>
      <c r="G255" s="44">
        <v>46048</v>
      </c>
      <c r="H255" s="45" t="e">
        <f t="shared" si="0"/>
        <v>#N/A</v>
      </c>
      <c r="I255" s="46">
        <v>46063.674895833334</v>
      </c>
    </row>
    <row r="256" spans="1:10">
      <c r="A256" s="40" t="s">
        <v>515</v>
      </c>
      <c r="B256" s="40" t="s">
        <v>516</v>
      </c>
      <c r="C256" s="41">
        <v>46032</v>
      </c>
      <c r="D256" s="42" t="s">
        <v>410</v>
      </c>
      <c r="E256" s="42" t="s">
        <v>411</v>
      </c>
      <c r="F256" s="47">
        <v>52140</v>
      </c>
      <c r="G256" s="44">
        <v>46381</v>
      </c>
      <c r="H256" s="45" t="e">
        <f t="shared" si="0"/>
        <v>#N/A</v>
      </c>
      <c r="I256" s="46">
        <v>46037.726226851853</v>
      </c>
      <c r="J256" s="40" t="s">
        <v>517</v>
      </c>
    </row>
    <row r="257" spans="1:9">
      <c r="A257" s="40" t="s">
        <v>515</v>
      </c>
      <c r="B257" s="40" t="s">
        <v>516</v>
      </c>
      <c r="C257" s="41">
        <v>46001</v>
      </c>
      <c r="D257" s="42" t="s">
        <v>410</v>
      </c>
      <c r="E257" s="42" t="s">
        <v>411</v>
      </c>
      <c r="F257" s="47">
        <v>60444</v>
      </c>
      <c r="G257" s="44">
        <v>46351</v>
      </c>
      <c r="H257" s="45" t="e">
        <f t="shared" ref="H257:H511" si="1">DATE(2000+RIGHT(G257,2),MATCH(LEFT(G257,3),{"jan";"fev";"mar";"abr";"mai";"jun";"jul";"ago";"set";"out";"nov";"dez"},0),1)</f>
        <v>#N/A</v>
      </c>
      <c r="I257" s="46">
        <v>46007.654178240744</v>
      </c>
    </row>
    <row r="258" spans="1:9">
      <c r="A258" s="40" t="s">
        <v>515</v>
      </c>
      <c r="B258" s="40" t="s">
        <v>516</v>
      </c>
      <c r="C258" s="41">
        <v>45971</v>
      </c>
      <c r="D258" s="42" t="s">
        <v>410</v>
      </c>
      <c r="E258" s="42" t="s">
        <v>411</v>
      </c>
      <c r="F258" s="47">
        <v>199080</v>
      </c>
      <c r="G258" s="44">
        <v>46320</v>
      </c>
      <c r="H258" s="45" t="e">
        <f t="shared" si="1"/>
        <v>#N/A</v>
      </c>
      <c r="I258" s="46">
        <v>45975.550243055557</v>
      </c>
    </row>
    <row r="259" spans="1:9">
      <c r="A259" s="40" t="s">
        <v>515</v>
      </c>
      <c r="B259" s="40" t="s">
        <v>516</v>
      </c>
      <c r="C259" s="41">
        <v>45940</v>
      </c>
      <c r="D259" s="42" t="s">
        <v>410</v>
      </c>
      <c r="E259" s="42" t="s">
        <v>411</v>
      </c>
      <c r="F259" s="47">
        <v>56880</v>
      </c>
      <c r="G259" s="44">
        <v>46290</v>
      </c>
      <c r="H259" s="45" t="e">
        <f t="shared" si="1"/>
        <v>#N/A</v>
      </c>
      <c r="I259" s="46">
        <v>45946.666643518518</v>
      </c>
    </row>
    <row r="260" spans="1:9">
      <c r="A260" s="40" t="s">
        <v>515</v>
      </c>
      <c r="B260" s="40" t="s">
        <v>516</v>
      </c>
      <c r="C260" s="41">
        <v>45910</v>
      </c>
      <c r="D260" s="42" t="s">
        <v>410</v>
      </c>
      <c r="E260" s="42" t="s">
        <v>411</v>
      </c>
      <c r="F260" s="47">
        <v>69924</v>
      </c>
      <c r="G260" s="44">
        <v>46259</v>
      </c>
      <c r="H260" s="45" t="e">
        <f t="shared" si="1"/>
        <v>#N/A</v>
      </c>
      <c r="I260" s="46">
        <v>45946.667523148149</v>
      </c>
    </row>
    <row r="261" spans="1:9">
      <c r="A261" s="40" t="s">
        <v>515</v>
      </c>
      <c r="B261" s="40" t="s">
        <v>516</v>
      </c>
      <c r="C261" s="41">
        <v>45879</v>
      </c>
      <c r="D261" s="42" t="s">
        <v>410</v>
      </c>
      <c r="E261" s="42" t="s">
        <v>411</v>
      </c>
      <c r="F261" s="47">
        <v>67548</v>
      </c>
      <c r="G261" s="44">
        <v>46228</v>
      </c>
      <c r="H261" s="45" t="e">
        <f t="shared" si="1"/>
        <v>#N/A</v>
      </c>
      <c r="I261" s="46">
        <v>45946.667349537034</v>
      </c>
    </row>
    <row r="262" spans="1:9">
      <c r="A262" s="40" t="s">
        <v>515</v>
      </c>
      <c r="B262" s="40" t="s">
        <v>516</v>
      </c>
      <c r="C262" s="41">
        <v>45848</v>
      </c>
      <c r="D262" s="42" t="s">
        <v>410</v>
      </c>
      <c r="E262" s="42" t="s">
        <v>411</v>
      </c>
      <c r="F262" s="47">
        <v>54.552</v>
      </c>
      <c r="G262" s="44">
        <v>46198</v>
      </c>
      <c r="H262" s="45" t="e">
        <f t="shared" si="1"/>
        <v>#N/A</v>
      </c>
      <c r="I262" s="46">
        <v>45938.714606481481</v>
      </c>
    </row>
    <row r="263" spans="1:9">
      <c r="A263" s="40" t="s">
        <v>515</v>
      </c>
      <c r="B263" s="40" t="s">
        <v>516</v>
      </c>
      <c r="C263" s="41">
        <v>45818</v>
      </c>
      <c r="D263" s="42" t="s">
        <v>410</v>
      </c>
      <c r="E263" s="42" t="s">
        <v>411</v>
      </c>
      <c r="F263" s="47">
        <v>11881</v>
      </c>
      <c r="G263" s="44">
        <v>46167</v>
      </c>
      <c r="H263" s="45" t="e">
        <f t="shared" si="1"/>
        <v>#N/A</v>
      </c>
      <c r="I263" s="46">
        <v>45938.714606481481</v>
      </c>
    </row>
    <row r="264" spans="1:9">
      <c r="A264" s="40" t="s">
        <v>515</v>
      </c>
      <c r="B264" s="40" t="s">
        <v>516</v>
      </c>
      <c r="C264" s="41">
        <v>45787</v>
      </c>
      <c r="D264" s="42" t="s">
        <v>410</v>
      </c>
      <c r="E264" s="42" t="s">
        <v>411</v>
      </c>
      <c r="F264" s="43"/>
      <c r="G264" s="44">
        <v>46137</v>
      </c>
      <c r="H264" s="45" t="e">
        <f t="shared" si="1"/>
        <v>#N/A</v>
      </c>
      <c r="I264" s="43"/>
    </row>
    <row r="265" spans="1:9">
      <c r="A265" s="40" t="s">
        <v>515</v>
      </c>
      <c r="B265" s="40" t="s">
        <v>516</v>
      </c>
      <c r="C265" s="41">
        <v>45757</v>
      </c>
      <c r="D265" s="42" t="s">
        <v>410</v>
      </c>
      <c r="E265" s="42" t="s">
        <v>411</v>
      </c>
      <c r="F265" s="47">
        <v>63996</v>
      </c>
      <c r="G265" s="44">
        <v>46106</v>
      </c>
      <c r="H265" s="45" t="e">
        <f t="shared" si="1"/>
        <v>#N/A</v>
      </c>
      <c r="I265" s="46">
        <v>45938.714606481481</v>
      </c>
    </row>
    <row r="266" spans="1:9">
      <c r="A266" s="40" t="s">
        <v>518</v>
      </c>
      <c r="B266" s="40" t="s">
        <v>519</v>
      </c>
      <c r="C266" s="41">
        <v>46122</v>
      </c>
      <c r="D266" s="42" t="s">
        <v>476</v>
      </c>
      <c r="E266" s="42" t="s">
        <v>411</v>
      </c>
      <c r="F266" s="43"/>
      <c r="G266" s="44">
        <v>46107</v>
      </c>
      <c r="H266" s="45" t="e">
        <f t="shared" si="1"/>
        <v>#N/A</v>
      </c>
      <c r="I266" s="46"/>
    </row>
    <row r="267" spans="1:9">
      <c r="A267" s="40" t="s">
        <v>518</v>
      </c>
      <c r="B267" s="40" t="s">
        <v>519</v>
      </c>
      <c r="C267" s="41">
        <v>46091</v>
      </c>
      <c r="D267" s="42" t="s">
        <v>476</v>
      </c>
      <c r="E267" s="42" t="s">
        <v>411</v>
      </c>
      <c r="F267" s="43"/>
      <c r="G267" s="44">
        <v>46079</v>
      </c>
      <c r="H267" s="45" t="e">
        <f t="shared" si="1"/>
        <v>#N/A</v>
      </c>
      <c r="I267" s="43"/>
    </row>
    <row r="268" spans="1:9">
      <c r="A268" s="40" t="s">
        <v>518</v>
      </c>
      <c r="B268" s="40" t="s">
        <v>519</v>
      </c>
      <c r="C268" s="41">
        <v>46063</v>
      </c>
      <c r="D268" s="42" t="s">
        <v>476</v>
      </c>
      <c r="E268" s="42" t="s">
        <v>411</v>
      </c>
      <c r="F268" s="47">
        <v>0.14000000000000001</v>
      </c>
      <c r="G268" s="44">
        <v>46048</v>
      </c>
      <c r="H268" s="45" t="e">
        <f t="shared" si="1"/>
        <v>#N/A</v>
      </c>
      <c r="I268" s="46">
        <v>46066.737962962965</v>
      </c>
    </row>
    <row r="269" spans="1:9">
      <c r="A269" s="40" t="s">
        <v>518</v>
      </c>
      <c r="B269" s="40" t="s">
        <v>519</v>
      </c>
      <c r="C269" s="41">
        <v>46032</v>
      </c>
      <c r="D269" s="42" t="s">
        <v>476</v>
      </c>
      <c r="E269" s="42" t="s">
        <v>411</v>
      </c>
      <c r="F269" s="47">
        <v>0.38</v>
      </c>
      <c r="G269" s="44">
        <v>46381</v>
      </c>
      <c r="H269" s="45" t="e">
        <f t="shared" si="1"/>
        <v>#N/A</v>
      </c>
      <c r="I269" s="46">
        <v>46037.711446759262</v>
      </c>
    </row>
    <row r="270" spans="1:9">
      <c r="A270" s="40" t="s">
        <v>518</v>
      </c>
      <c r="B270" s="40" t="s">
        <v>519</v>
      </c>
      <c r="C270" s="41">
        <v>46001</v>
      </c>
      <c r="D270" s="42" t="s">
        <v>476</v>
      </c>
      <c r="E270" s="42" t="s">
        <v>411</v>
      </c>
      <c r="F270" s="47">
        <v>0.51</v>
      </c>
      <c r="G270" s="44">
        <v>46351</v>
      </c>
      <c r="H270" s="45" t="e">
        <f t="shared" si="1"/>
        <v>#N/A</v>
      </c>
      <c r="I270" s="46">
        <v>46006.609537037039</v>
      </c>
    </row>
    <row r="271" spans="1:9">
      <c r="A271" s="40" t="s">
        <v>518</v>
      </c>
      <c r="B271" s="40" t="s">
        <v>519</v>
      </c>
      <c r="C271" s="41">
        <v>45971</v>
      </c>
      <c r="D271" s="42" t="s">
        <v>476</v>
      </c>
      <c r="E271" s="42" t="s">
        <v>411</v>
      </c>
      <c r="F271" s="47">
        <v>0.43</v>
      </c>
      <c r="G271" s="44">
        <v>46320</v>
      </c>
      <c r="H271" s="45" t="e">
        <f t="shared" si="1"/>
        <v>#N/A</v>
      </c>
      <c r="I271" s="46">
        <v>45978.455949074072</v>
      </c>
    </row>
    <row r="272" spans="1:9">
      <c r="A272" s="40" t="s">
        <v>518</v>
      </c>
      <c r="B272" s="40" t="s">
        <v>519</v>
      </c>
      <c r="C272" s="41">
        <v>45940</v>
      </c>
      <c r="D272" s="42" t="s">
        <v>476</v>
      </c>
      <c r="E272" s="42" t="s">
        <v>411</v>
      </c>
      <c r="F272" s="47">
        <v>0.52</v>
      </c>
      <c r="G272" s="44">
        <v>46290</v>
      </c>
      <c r="H272" s="45" t="e">
        <f t="shared" si="1"/>
        <v>#N/A</v>
      </c>
      <c r="I272" s="46">
        <v>45943.720416666663</v>
      </c>
    </row>
    <row r="273" spans="1:9">
      <c r="A273" s="40" t="s">
        <v>518</v>
      </c>
      <c r="B273" s="40" t="s">
        <v>519</v>
      </c>
      <c r="C273" s="41">
        <v>45910</v>
      </c>
      <c r="D273" s="42" t="s">
        <v>476</v>
      </c>
      <c r="E273" s="42" t="s">
        <v>411</v>
      </c>
      <c r="F273" s="47">
        <v>0.85</v>
      </c>
      <c r="G273" s="44">
        <v>46259</v>
      </c>
      <c r="H273" s="45" t="e">
        <f t="shared" si="1"/>
        <v>#N/A</v>
      </c>
      <c r="I273" s="46">
        <v>45943.721377314818</v>
      </c>
    </row>
    <row r="274" spans="1:9">
      <c r="A274" s="40" t="s">
        <v>518</v>
      </c>
      <c r="B274" s="40" t="s">
        <v>519</v>
      </c>
      <c r="C274" s="41">
        <v>45879</v>
      </c>
      <c r="D274" s="42" t="s">
        <v>476</v>
      </c>
      <c r="E274" s="42" t="s">
        <v>411</v>
      </c>
      <c r="F274" s="47">
        <v>0.6</v>
      </c>
      <c r="G274" s="44">
        <v>46228</v>
      </c>
      <c r="H274" s="45" t="e">
        <f t="shared" si="1"/>
        <v>#N/A</v>
      </c>
      <c r="I274" s="46">
        <v>45936.649363425924</v>
      </c>
    </row>
    <row r="275" spans="1:9">
      <c r="A275" s="40" t="s">
        <v>518</v>
      </c>
      <c r="B275" s="40" t="s">
        <v>519</v>
      </c>
      <c r="C275" s="41">
        <v>45848</v>
      </c>
      <c r="D275" s="42" t="s">
        <v>476</v>
      </c>
      <c r="E275" s="42" t="s">
        <v>411</v>
      </c>
      <c r="F275" s="47">
        <v>0.96</v>
      </c>
      <c r="G275" s="44">
        <v>46198</v>
      </c>
      <c r="H275" s="45" t="e">
        <f t="shared" si="1"/>
        <v>#N/A</v>
      </c>
      <c r="I275" s="46">
        <v>45936.649363425924</v>
      </c>
    </row>
    <row r="276" spans="1:9">
      <c r="A276" s="40" t="s">
        <v>518</v>
      </c>
      <c r="B276" s="40" t="s">
        <v>519</v>
      </c>
      <c r="C276" s="41">
        <v>45818</v>
      </c>
      <c r="D276" s="42" t="s">
        <v>476</v>
      </c>
      <c r="E276" s="42" t="s">
        <v>411</v>
      </c>
      <c r="F276" s="47">
        <v>0.99</v>
      </c>
      <c r="G276" s="44">
        <v>46167</v>
      </c>
      <c r="H276" s="45" t="e">
        <f t="shared" si="1"/>
        <v>#N/A</v>
      </c>
      <c r="I276" s="46">
        <v>45936.649363425924</v>
      </c>
    </row>
    <row r="277" spans="1:9">
      <c r="A277" s="40" t="s">
        <v>518</v>
      </c>
      <c r="B277" s="40" t="s">
        <v>519</v>
      </c>
      <c r="C277" s="41">
        <v>45787</v>
      </c>
      <c r="D277" s="42" t="s">
        <v>476</v>
      </c>
      <c r="E277" s="42" t="s">
        <v>411</v>
      </c>
      <c r="F277" s="47">
        <v>0.8</v>
      </c>
      <c r="G277" s="44">
        <v>46137</v>
      </c>
      <c r="H277" s="45" t="e">
        <f t="shared" si="1"/>
        <v>#N/A</v>
      </c>
      <c r="I277" s="46">
        <v>45936.649363425924</v>
      </c>
    </row>
    <row r="278" spans="1:9">
      <c r="A278" s="40" t="s">
        <v>518</v>
      </c>
      <c r="B278" s="40" t="s">
        <v>519</v>
      </c>
      <c r="C278" s="41">
        <v>45757</v>
      </c>
      <c r="D278" s="42" t="s">
        <v>476</v>
      </c>
      <c r="E278" s="42" t="s">
        <v>411</v>
      </c>
      <c r="F278" s="47">
        <v>3.77</v>
      </c>
      <c r="G278" s="44">
        <v>46106</v>
      </c>
      <c r="H278" s="45" t="e">
        <f t="shared" si="1"/>
        <v>#N/A</v>
      </c>
      <c r="I278" s="46">
        <v>45936.649363425924</v>
      </c>
    </row>
    <row r="279" spans="1:9">
      <c r="A279" s="40" t="s">
        <v>520</v>
      </c>
      <c r="B279" s="40" t="s">
        <v>521</v>
      </c>
      <c r="C279" s="41">
        <v>46122</v>
      </c>
      <c r="D279" s="42" t="s">
        <v>490</v>
      </c>
      <c r="E279" s="42" t="s">
        <v>411</v>
      </c>
      <c r="F279" s="43"/>
      <c r="G279" s="44">
        <v>46107</v>
      </c>
      <c r="H279" s="45" t="e">
        <f t="shared" si="1"/>
        <v>#N/A</v>
      </c>
      <c r="I279" s="46"/>
    </row>
    <row r="280" spans="1:9">
      <c r="A280" s="40" t="s">
        <v>520</v>
      </c>
      <c r="B280" s="40" t="s">
        <v>521</v>
      </c>
      <c r="C280" s="41">
        <v>46091</v>
      </c>
      <c r="D280" s="42" t="s">
        <v>490</v>
      </c>
      <c r="E280" s="42" t="s">
        <v>411</v>
      </c>
      <c r="F280" s="43"/>
      <c r="G280" s="44">
        <v>46079</v>
      </c>
      <c r="H280" s="45" t="e">
        <f t="shared" si="1"/>
        <v>#N/A</v>
      </c>
      <c r="I280" s="43"/>
    </row>
    <row r="281" spans="1:9">
      <c r="A281" s="40" t="s">
        <v>520</v>
      </c>
      <c r="B281" s="40" t="s">
        <v>521</v>
      </c>
      <c r="C281" s="41">
        <v>46063</v>
      </c>
      <c r="D281" s="42" t="s">
        <v>490</v>
      </c>
      <c r="E281" s="42" t="s">
        <v>411</v>
      </c>
      <c r="F281" s="47">
        <v>8</v>
      </c>
      <c r="G281" s="44">
        <v>46048</v>
      </c>
      <c r="H281" s="45" t="e">
        <f t="shared" si="1"/>
        <v>#N/A</v>
      </c>
      <c r="I281" s="46">
        <v>46072.620439814818</v>
      </c>
    </row>
    <row r="282" spans="1:9">
      <c r="A282" s="40" t="s">
        <v>520</v>
      </c>
      <c r="B282" s="40" t="s">
        <v>521</v>
      </c>
      <c r="C282" s="41">
        <v>46032</v>
      </c>
      <c r="D282" s="42" t="s">
        <v>490</v>
      </c>
      <c r="E282" s="42" t="s">
        <v>411</v>
      </c>
      <c r="F282" s="47">
        <v>18</v>
      </c>
      <c r="G282" s="44">
        <v>46381</v>
      </c>
      <c r="H282" s="45" t="e">
        <f t="shared" si="1"/>
        <v>#N/A</v>
      </c>
      <c r="I282" s="46">
        <v>46037.745682870373</v>
      </c>
    </row>
    <row r="283" spans="1:9">
      <c r="A283" s="40" t="s">
        <v>520</v>
      </c>
      <c r="B283" s="40" t="s">
        <v>521</v>
      </c>
      <c r="C283" s="41">
        <v>46001</v>
      </c>
      <c r="D283" s="42" t="s">
        <v>490</v>
      </c>
      <c r="E283" s="42" t="s">
        <v>411</v>
      </c>
      <c r="F283" s="47">
        <v>15</v>
      </c>
      <c r="G283" s="44">
        <v>46351</v>
      </c>
      <c r="H283" s="45" t="e">
        <f t="shared" si="1"/>
        <v>#N/A</v>
      </c>
      <c r="I283" s="46">
        <v>46006.669803240744</v>
      </c>
    </row>
    <row r="284" spans="1:9">
      <c r="A284" s="40" t="s">
        <v>520</v>
      </c>
      <c r="B284" s="40" t="s">
        <v>521</v>
      </c>
      <c r="C284" s="41">
        <v>45971</v>
      </c>
      <c r="D284" s="42" t="s">
        <v>490</v>
      </c>
      <c r="E284" s="42" t="s">
        <v>411</v>
      </c>
      <c r="F284" s="47">
        <v>13</v>
      </c>
      <c r="G284" s="44">
        <v>46320</v>
      </c>
      <c r="H284" s="45" t="e">
        <f t="shared" si="1"/>
        <v>#N/A</v>
      </c>
      <c r="I284" s="46">
        <v>45978.403483796297</v>
      </c>
    </row>
    <row r="285" spans="1:9">
      <c r="A285" s="40" t="s">
        <v>520</v>
      </c>
      <c r="B285" s="40" t="s">
        <v>521</v>
      </c>
      <c r="C285" s="41">
        <v>45940</v>
      </c>
      <c r="D285" s="42" t="s">
        <v>490</v>
      </c>
      <c r="E285" s="42" t="s">
        <v>411</v>
      </c>
      <c r="F285" s="47">
        <v>15</v>
      </c>
      <c r="G285" s="44">
        <v>46290</v>
      </c>
      <c r="H285" s="45" t="e">
        <f t="shared" si="1"/>
        <v>#N/A</v>
      </c>
      <c r="I285" s="46">
        <v>45944.569722222222</v>
      </c>
    </row>
    <row r="286" spans="1:9">
      <c r="A286" s="40" t="s">
        <v>520</v>
      </c>
      <c r="B286" s="40" t="s">
        <v>521</v>
      </c>
      <c r="C286" s="41">
        <v>45910</v>
      </c>
      <c r="D286" s="42" t="s">
        <v>490</v>
      </c>
      <c r="E286" s="42" t="s">
        <v>411</v>
      </c>
      <c r="F286" s="47">
        <v>17</v>
      </c>
      <c r="G286" s="44">
        <v>46259</v>
      </c>
      <c r="H286" s="45" t="e">
        <f t="shared" si="1"/>
        <v>#N/A</v>
      </c>
      <c r="I286" s="46">
        <v>45944.569872685184</v>
      </c>
    </row>
    <row r="287" spans="1:9">
      <c r="A287" s="40" t="s">
        <v>520</v>
      </c>
      <c r="B287" s="40" t="s">
        <v>521</v>
      </c>
      <c r="C287" s="41">
        <v>45879</v>
      </c>
      <c r="D287" s="42" t="s">
        <v>490</v>
      </c>
      <c r="E287" s="42" t="s">
        <v>411</v>
      </c>
      <c r="F287" s="47">
        <v>4</v>
      </c>
      <c r="G287" s="44">
        <v>46228</v>
      </c>
      <c r="H287" s="45" t="e">
        <f t="shared" si="1"/>
        <v>#N/A</v>
      </c>
      <c r="I287" s="46">
        <v>45938.709340277775</v>
      </c>
    </row>
    <row r="288" spans="1:9">
      <c r="A288" s="40" t="s">
        <v>520</v>
      </c>
      <c r="B288" s="40" t="s">
        <v>521</v>
      </c>
      <c r="C288" s="41">
        <v>45848</v>
      </c>
      <c r="D288" s="42" t="s">
        <v>490</v>
      </c>
      <c r="E288" s="42" t="s">
        <v>411</v>
      </c>
      <c r="F288" s="47">
        <v>16</v>
      </c>
      <c r="G288" s="44">
        <v>46198</v>
      </c>
      <c r="H288" s="45" t="e">
        <f t="shared" si="1"/>
        <v>#N/A</v>
      </c>
      <c r="I288" s="46">
        <v>45938.709340277775</v>
      </c>
    </row>
    <row r="289" spans="1:10">
      <c r="A289" s="40" t="s">
        <v>520</v>
      </c>
      <c r="B289" s="40" t="s">
        <v>521</v>
      </c>
      <c r="C289" s="41">
        <v>45818</v>
      </c>
      <c r="D289" s="42" t="s">
        <v>490</v>
      </c>
      <c r="E289" s="42" t="s">
        <v>411</v>
      </c>
      <c r="F289" s="47">
        <v>14</v>
      </c>
      <c r="G289" s="44">
        <v>46167</v>
      </c>
      <c r="H289" s="45" t="e">
        <f t="shared" si="1"/>
        <v>#N/A</v>
      </c>
      <c r="I289" s="46">
        <v>45938.709340277775</v>
      </c>
    </row>
    <row r="290" spans="1:10">
      <c r="A290" s="40" t="s">
        <v>520</v>
      </c>
      <c r="B290" s="40" t="s">
        <v>521</v>
      </c>
      <c r="C290" s="41">
        <v>45787</v>
      </c>
      <c r="D290" s="42" t="s">
        <v>490</v>
      </c>
      <c r="E290" s="42" t="s">
        <v>411</v>
      </c>
      <c r="F290" s="47">
        <v>15</v>
      </c>
      <c r="G290" s="44">
        <v>46137</v>
      </c>
      <c r="H290" s="45" t="e">
        <f t="shared" si="1"/>
        <v>#N/A</v>
      </c>
      <c r="I290" s="46">
        <v>45938.709340277775</v>
      </c>
    </row>
    <row r="291" spans="1:10">
      <c r="A291" s="40" t="s">
        <v>520</v>
      </c>
      <c r="B291" s="40" t="s">
        <v>521</v>
      </c>
      <c r="C291" s="41">
        <v>45757</v>
      </c>
      <c r="D291" s="42" t="s">
        <v>490</v>
      </c>
      <c r="E291" s="42" t="s">
        <v>411</v>
      </c>
      <c r="F291" s="47">
        <v>10</v>
      </c>
      <c r="G291" s="44">
        <v>46106</v>
      </c>
      <c r="H291" s="45" t="e">
        <f t="shared" si="1"/>
        <v>#N/A</v>
      </c>
      <c r="I291" s="46">
        <v>45938.709328703706</v>
      </c>
    </row>
    <row r="292" spans="1:10">
      <c r="A292" s="40" t="s">
        <v>522</v>
      </c>
      <c r="B292" s="40" t="s">
        <v>523</v>
      </c>
      <c r="C292" s="41">
        <v>46117</v>
      </c>
      <c r="D292" s="42" t="s">
        <v>410</v>
      </c>
      <c r="E292" s="42" t="s">
        <v>411</v>
      </c>
      <c r="F292" s="43"/>
      <c r="G292" s="44">
        <v>46107</v>
      </c>
      <c r="H292" s="45" t="e">
        <f t="shared" si="1"/>
        <v>#N/A</v>
      </c>
      <c r="I292" s="46"/>
    </row>
    <row r="293" spans="1:10">
      <c r="A293" s="40" t="s">
        <v>522</v>
      </c>
      <c r="B293" s="40" t="s">
        <v>523</v>
      </c>
      <c r="C293" s="41">
        <v>46086</v>
      </c>
      <c r="D293" s="42" t="s">
        <v>410</v>
      </c>
      <c r="E293" s="42" t="s">
        <v>411</v>
      </c>
      <c r="F293" s="43"/>
      <c r="G293" s="44">
        <v>46079</v>
      </c>
      <c r="H293" s="45" t="e">
        <f t="shared" si="1"/>
        <v>#N/A</v>
      </c>
      <c r="I293" s="43"/>
    </row>
    <row r="294" spans="1:10">
      <c r="A294" s="40" t="s">
        <v>522</v>
      </c>
      <c r="B294" s="40" t="s">
        <v>523</v>
      </c>
      <c r="C294" s="41">
        <v>46058</v>
      </c>
      <c r="D294" s="42" t="s">
        <v>410</v>
      </c>
      <c r="E294" s="42" t="s">
        <v>411</v>
      </c>
      <c r="F294" s="47">
        <v>72.63</v>
      </c>
      <c r="G294" s="44">
        <v>46048</v>
      </c>
      <c r="H294" s="45" t="e">
        <f t="shared" si="1"/>
        <v>#N/A</v>
      </c>
      <c r="I294" s="46">
        <v>46057.585682870369</v>
      </c>
      <c r="J294" s="40" t="s">
        <v>524</v>
      </c>
    </row>
    <row r="295" spans="1:10">
      <c r="A295" s="40" t="s">
        <v>522</v>
      </c>
      <c r="B295" s="40" t="s">
        <v>523</v>
      </c>
      <c r="C295" s="41">
        <v>46027</v>
      </c>
      <c r="D295" s="42" t="s">
        <v>410</v>
      </c>
      <c r="E295" s="42" t="s">
        <v>411</v>
      </c>
      <c r="F295" s="47">
        <v>75.14</v>
      </c>
      <c r="G295" s="44">
        <v>46381</v>
      </c>
      <c r="H295" s="45" t="e">
        <f t="shared" si="1"/>
        <v>#N/A</v>
      </c>
      <c r="I295" s="46">
        <v>46057.63690972222</v>
      </c>
      <c r="J295" s="40" t="s">
        <v>525</v>
      </c>
    </row>
    <row r="296" spans="1:10">
      <c r="A296" s="40" t="s">
        <v>522</v>
      </c>
      <c r="B296" s="40" t="s">
        <v>523</v>
      </c>
      <c r="C296" s="41">
        <v>45996</v>
      </c>
      <c r="D296" s="42" t="s">
        <v>410</v>
      </c>
      <c r="E296" s="42" t="s">
        <v>411</v>
      </c>
      <c r="F296" s="47">
        <v>80.88</v>
      </c>
      <c r="G296" s="44">
        <v>46351</v>
      </c>
      <c r="H296" s="45" t="e">
        <f t="shared" si="1"/>
        <v>#N/A</v>
      </c>
      <c r="I296" s="46">
        <v>46057.633622685185</v>
      </c>
      <c r="J296" s="40" t="s">
        <v>526</v>
      </c>
    </row>
    <row r="297" spans="1:10">
      <c r="A297" s="40" t="s">
        <v>522</v>
      </c>
      <c r="B297" s="40" t="s">
        <v>523</v>
      </c>
      <c r="C297" s="41">
        <v>45966</v>
      </c>
      <c r="D297" s="42" t="s">
        <v>410</v>
      </c>
      <c r="E297" s="42" t="s">
        <v>411</v>
      </c>
      <c r="F297" s="47">
        <v>79.55</v>
      </c>
      <c r="G297" s="44">
        <v>46320</v>
      </c>
      <c r="H297" s="45" t="e">
        <f t="shared" si="1"/>
        <v>#N/A</v>
      </c>
      <c r="I297" s="46">
        <v>46057.629525462966</v>
      </c>
      <c r="J297" s="40" t="s">
        <v>527</v>
      </c>
    </row>
    <row r="298" spans="1:10">
      <c r="A298" s="40" t="s">
        <v>522</v>
      </c>
      <c r="B298" s="40" t="s">
        <v>523</v>
      </c>
      <c r="C298" s="41">
        <v>45935</v>
      </c>
      <c r="D298" s="42" t="s">
        <v>410</v>
      </c>
      <c r="E298" s="42" t="s">
        <v>411</v>
      </c>
      <c r="F298" s="47">
        <v>80.97</v>
      </c>
      <c r="G298" s="44">
        <v>46290</v>
      </c>
      <c r="H298" s="45" t="e">
        <f t="shared" si="1"/>
        <v>#N/A</v>
      </c>
      <c r="I298" s="46">
        <v>46057.624942129631</v>
      </c>
      <c r="J298" s="40" t="s">
        <v>528</v>
      </c>
    </row>
    <row r="299" spans="1:10">
      <c r="A299" s="40" t="s">
        <v>522</v>
      </c>
      <c r="B299" s="40" t="s">
        <v>523</v>
      </c>
      <c r="C299" s="41">
        <v>45905</v>
      </c>
      <c r="D299" s="42" t="s">
        <v>410</v>
      </c>
      <c r="E299" s="42" t="s">
        <v>411</v>
      </c>
      <c r="F299" s="47">
        <v>75.55</v>
      </c>
      <c r="G299" s="44">
        <v>46259</v>
      </c>
      <c r="H299" s="45" t="e">
        <f t="shared" si="1"/>
        <v>#N/A</v>
      </c>
      <c r="I299" s="46">
        <v>46057.618483796294</v>
      </c>
      <c r="J299" s="40" t="s">
        <v>529</v>
      </c>
    </row>
    <row r="300" spans="1:10">
      <c r="A300" s="40" t="s">
        <v>522</v>
      </c>
      <c r="B300" s="40" t="s">
        <v>523</v>
      </c>
      <c r="C300" s="41">
        <v>45874</v>
      </c>
      <c r="D300" s="42" t="s">
        <v>410</v>
      </c>
      <c r="E300" s="42" t="s">
        <v>411</v>
      </c>
      <c r="F300" s="47">
        <v>28.27</v>
      </c>
      <c r="G300" s="44">
        <v>46228</v>
      </c>
      <c r="H300" s="45" t="e">
        <f t="shared" si="1"/>
        <v>#N/A</v>
      </c>
      <c r="I300" s="46">
        <v>46057.608969907407</v>
      </c>
      <c r="J300" s="40" t="s">
        <v>530</v>
      </c>
    </row>
    <row r="301" spans="1:10">
      <c r="A301" s="40" t="s">
        <v>531</v>
      </c>
      <c r="B301" s="40" t="s">
        <v>532</v>
      </c>
      <c r="C301" s="41">
        <v>46122</v>
      </c>
      <c r="D301" s="42" t="s">
        <v>410</v>
      </c>
      <c r="E301" s="42" t="s">
        <v>411</v>
      </c>
      <c r="F301" s="43"/>
      <c r="G301" s="44">
        <v>46107</v>
      </c>
      <c r="H301" s="45" t="e">
        <f t="shared" si="1"/>
        <v>#N/A</v>
      </c>
      <c r="I301" s="46"/>
    </row>
    <row r="302" spans="1:10">
      <c r="A302" s="40" t="s">
        <v>531</v>
      </c>
      <c r="B302" s="40" t="s">
        <v>532</v>
      </c>
      <c r="C302" s="41">
        <v>46091</v>
      </c>
      <c r="D302" s="42" t="s">
        <v>410</v>
      </c>
      <c r="E302" s="42" t="s">
        <v>411</v>
      </c>
      <c r="F302" s="43"/>
      <c r="G302" s="44">
        <v>46079</v>
      </c>
      <c r="H302" s="45" t="e">
        <f t="shared" si="1"/>
        <v>#N/A</v>
      </c>
      <c r="I302" s="43"/>
    </row>
    <row r="303" spans="1:10">
      <c r="A303" s="40" t="s">
        <v>531</v>
      </c>
      <c r="B303" s="40" t="s">
        <v>532</v>
      </c>
      <c r="C303" s="41">
        <v>46063</v>
      </c>
      <c r="D303" s="42" t="s">
        <v>410</v>
      </c>
      <c r="E303" s="42" t="s">
        <v>411</v>
      </c>
      <c r="F303" s="47">
        <v>3</v>
      </c>
      <c r="G303" s="44">
        <v>46048</v>
      </c>
      <c r="H303" s="45" t="e">
        <f t="shared" si="1"/>
        <v>#N/A</v>
      </c>
      <c r="I303" s="46">
        <v>46066.488125000003</v>
      </c>
    </row>
    <row r="304" spans="1:10">
      <c r="A304" s="40" t="s">
        <v>531</v>
      </c>
      <c r="B304" s="40" t="s">
        <v>532</v>
      </c>
      <c r="C304" s="41">
        <v>46032</v>
      </c>
      <c r="D304" s="42" t="s">
        <v>410</v>
      </c>
      <c r="E304" s="42" t="s">
        <v>411</v>
      </c>
      <c r="F304" s="47">
        <v>3</v>
      </c>
      <c r="G304" s="44">
        <v>46381</v>
      </c>
      <c r="H304" s="45" t="e">
        <f t="shared" si="1"/>
        <v>#N/A</v>
      </c>
      <c r="I304" s="46">
        <v>46037.681516203702</v>
      </c>
    </row>
    <row r="305" spans="1:10">
      <c r="A305" s="40" t="s">
        <v>531</v>
      </c>
      <c r="B305" s="40" t="s">
        <v>532</v>
      </c>
      <c r="C305" s="41">
        <v>46001</v>
      </c>
      <c r="D305" s="42" t="s">
        <v>410</v>
      </c>
      <c r="E305" s="42" t="s">
        <v>411</v>
      </c>
      <c r="F305" s="47">
        <v>3</v>
      </c>
      <c r="G305" s="44">
        <v>46351</v>
      </c>
      <c r="H305" s="45" t="e">
        <f t="shared" si="1"/>
        <v>#N/A</v>
      </c>
      <c r="I305" s="46">
        <v>46006.6096412037</v>
      </c>
    </row>
    <row r="306" spans="1:10">
      <c r="A306" s="40" t="s">
        <v>531</v>
      </c>
      <c r="B306" s="40" t="s">
        <v>532</v>
      </c>
      <c r="C306" s="41">
        <v>45971</v>
      </c>
      <c r="D306" s="42" t="s">
        <v>410</v>
      </c>
      <c r="E306" s="42" t="s">
        <v>411</v>
      </c>
      <c r="F306" s="47">
        <v>3</v>
      </c>
      <c r="G306" s="44">
        <v>46320</v>
      </c>
      <c r="H306" s="45" t="e">
        <f t="shared" si="1"/>
        <v>#N/A</v>
      </c>
      <c r="I306" s="46">
        <v>45975.562511574077</v>
      </c>
      <c r="J306" s="40" t="s">
        <v>533</v>
      </c>
    </row>
    <row r="307" spans="1:10">
      <c r="A307" s="40" t="s">
        <v>531</v>
      </c>
      <c r="B307" s="40" t="s">
        <v>532</v>
      </c>
      <c r="C307" s="41">
        <v>45940</v>
      </c>
      <c r="D307" s="42" t="s">
        <v>410</v>
      </c>
      <c r="E307" s="42" t="s">
        <v>411</v>
      </c>
      <c r="F307" s="47">
        <v>3</v>
      </c>
      <c r="G307" s="44">
        <v>46290</v>
      </c>
      <c r="H307" s="45" t="e">
        <f t="shared" si="1"/>
        <v>#N/A</v>
      </c>
      <c r="I307" s="46">
        <v>45943.703032407408</v>
      </c>
    </row>
    <row r="308" spans="1:10">
      <c r="A308" s="40" t="s">
        <v>531</v>
      </c>
      <c r="B308" s="40" t="s">
        <v>532</v>
      </c>
      <c r="C308" s="41">
        <v>45910</v>
      </c>
      <c r="D308" s="42" t="s">
        <v>410</v>
      </c>
      <c r="E308" s="42" t="s">
        <v>411</v>
      </c>
      <c r="F308" s="47">
        <v>3</v>
      </c>
      <c r="G308" s="44">
        <v>46259</v>
      </c>
      <c r="H308" s="45" t="e">
        <f t="shared" si="1"/>
        <v>#N/A</v>
      </c>
      <c r="I308" s="46">
        <v>45943.702939814815</v>
      </c>
    </row>
    <row r="309" spans="1:10">
      <c r="A309" s="40" t="s">
        <v>531</v>
      </c>
      <c r="B309" s="40" t="s">
        <v>532</v>
      </c>
      <c r="C309" s="41">
        <v>45879</v>
      </c>
      <c r="D309" s="42" t="s">
        <v>410</v>
      </c>
      <c r="E309" s="42" t="s">
        <v>411</v>
      </c>
      <c r="F309" s="47">
        <v>3</v>
      </c>
      <c r="G309" s="44">
        <v>46228</v>
      </c>
      <c r="H309" s="45" t="e">
        <f t="shared" si="1"/>
        <v>#N/A</v>
      </c>
      <c r="I309" s="46">
        <v>45938.709351851852</v>
      </c>
    </row>
    <row r="310" spans="1:10">
      <c r="A310" s="40" t="s">
        <v>531</v>
      </c>
      <c r="B310" s="40" t="s">
        <v>532</v>
      </c>
      <c r="C310" s="41">
        <v>45848</v>
      </c>
      <c r="D310" s="42" t="s">
        <v>410</v>
      </c>
      <c r="E310" s="42" t="s">
        <v>411</v>
      </c>
      <c r="F310" s="47">
        <v>3</v>
      </c>
      <c r="G310" s="44">
        <v>46198</v>
      </c>
      <c r="H310" s="45" t="e">
        <f t="shared" si="1"/>
        <v>#N/A</v>
      </c>
      <c r="I310" s="46">
        <v>45938.709351851852</v>
      </c>
    </row>
    <row r="311" spans="1:10">
      <c r="A311" s="40" t="s">
        <v>531</v>
      </c>
      <c r="B311" s="40" t="s">
        <v>532</v>
      </c>
      <c r="C311" s="41">
        <v>45818</v>
      </c>
      <c r="D311" s="42" t="s">
        <v>410</v>
      </c>
      <c r="E311" s="42" t="s">
        <v>411</v>
      </c>
      <c r="F311" s="47">
        <v>3</v>
      </c>
      <c r="G311" s="44">
        <v>46167</v>
      </c>
      <c r="H311" s="45" t="e">
        <f t="shared" si="1"/>
        <v>#N/A</v>
      </c>
      <c r="I311" s="46">
        <v>45938.709351851852</v>
      </c>
    </row>
    <row r="312" spans="1:10">
      <c r="A312" s="40" t="s">
        <v>531</v>
      </c>
      <c r="B312" s="40" t="s">
        <v>532</v>
      </c>
      <c r="C312" s="41">
        <v>45787</v>
      </c>
      <c r="D312" s="42" t="s">
        <v>410</v>
      </c>
      <c r="E312" s="42" t="s">
        <v>411</v>
      </c>
      <c r="F312" s="47">
        <v>3</v>
      </c>
      <c r="G312" s="44">
        <v>46137</v>
      </c>
      <c r="H312" s="45" t="e">
        <f t="shared" si="1"/>
        <v>#N/A</v>
      </c>
      <c r="I312" s="46">
        <v>45938.709351851852</v>
      </c>
    </row>
    <row r="313" spans="1:10">
      <c r="A313" s="40" t="s">
        <v>531</v>
      </c>
      <c r="B313" s="40" t="s">
        <v>532</v>
      </c>
      <c r="C313" s="41">
        <v>45757</v>
      </c>
      <c r="D313" s="42" t="s">
        <v>410</v>
      </c>
      <c r="E313" s="42" t="s">
        <v>411</v>
      </c>
      <c r="F313" s="47">
        <v>3</v>
      </c>
      <c r="G313" s="44">
        <v>46106</v>
      </c>
      <c r="H313" s="45" t="e">
        <f t="shared" si="1"/>
        <v>#N/A</v>
      </c>
      <c r="I313" s="46">
        <v>45938.709351851852</v>
      </c>
    </row>
    <row r="314" spans="1:10">
      <c r="A314" s="40" t="s">
        <v>531</v>
      </c>
      <c r="B314" s="40" t="s">
        <v>532</v>
      </c>
      <c r="C314" s="41">
        <v>45726</v>
      </c>
      <c r="D314" s="42" t="s">
        <v>410</v>
      </c>
      <c r="E314" s="42" t="s">
        <v>411</v>
      </c>
      <c r="F314" s="47">
        <v>3</v>
      </c>
      <c r="G314" s="44">
        <v>46078</v>
      </c>
      <c r="H314" s="45" t="e">
        <f t="shared" si="1"/>
        <v>#N/A</v>
      </c>
      <c r="I314" s="46">
        <v>45938.709351851852</v>
      </c>
    </row>
    <row r="315" spans="1:10">
      <c r="A315" s="40" t="s">
        <v>531</v>
      </c>
      <c r="B315" s="40" t="s">
        <v>532</v>
      </c>
      <c r="C315" s="41">
        <v>45698</v>
      </c>
      <c r="D315" s="42" t="s">
        <v>410</v>
      </c>
      <c r="E315" s="42" t="s">
        <v>411</v>
      </c>
      <c r="F315" s="47">
        <v>3</v>
      </c>
      <c r="G315" s="44">
        <v>46047</v>
      </c>
      <c r="H315" s="45" t="e">
        <f t="shared" si="1"/>
        <v>#N/A</v>
      </c>
      <c r="I315" s="46">
        <v>45938.709340277775</v>
      </c>
    </row>
    <row r="316" spans="1:10">
      <c r="A316" s="40" t="s">
        <v>534</v>
      </c>
      <c r="B316" s="40" t="s">
        <v>535</v>
      </c>
      <c r="C316" s="41">
        <v>46122</v>
      </c>
      <c r="D316" s="42" t="s">
        <v>410</v>
      </c>
      <c r="E316" s="42" t="s">
        <v>411</v>
      </c>
      <c r="F316" s="43"/>
      <c r="G316" s="44">
        <v>46107</v>
      </c>
      <c r="H316" s="45" t="e">
        <f t="shared" si="1"/>
        <v>#N/A</v>
      </c>
      <c r="I316" s="46"/>
    </row>
    <row r="317" spans="1:10">
      <c r="A317" s="40" t="s">
        <v>534</v>
      </c>
      <c r="B317" s="40" t="s">
        <v>535</v>
      </c>
      <c r="C317" s="41">
        <v>46091</v>
      </c>
      <c r="D317" s="42" t="s">
        <v>410</v>
      </c>
      <c r="E317" s="42" t="s">
        <v>411</v>
      </c>
      <c r="F317" s="43"/>
      <c r="G317" s="44">
        <v>46079</v>
      </c>
      <c r="H317" s="45" t="e">
        <f t="shared" si="1"/>
        <v>#N/A</v>
      </c>
      <c r="I317" s="43"/>
    </row>
    <row r="318" spans="1:10">
      <c r="A318" s="40" t="s">
        <v>534</v>
      </c>
      <c r="B318" s="40" t="s">
        <v>535</v>
      </c>
      <c r="C318" s="41">
        <v>46063</v>
      </c>
      <c r="D318" s="42" t="s">
        <v>410</v>
      </c>
      <c r="E318" s="42" t="s">
        <v>411</v>
      </c>
      <c r="F318" s="47">
        <v>5177536.72</v>
      </c>
      <c r="G318" s="44">
        <v>46048</v>
      </c>
      <c r="H318" s="45" t="e">
        <f t="shared" si="1"/>
        <v>#N/A</v>
      </c>
      <c r="I318" s="46">
        <v>46066.660034722219</v>
      </c>
    </row>
    <row r="319" spans="1:10">
      <c r="A319" s="40" t="s">
        <v>534</v>
      </c>
      <c r="B319" s="40" t="s">
        <v>535</v>
      </c>
      <c r="C319" s="41">
        <v>46032</v>
      </c>
      <c r="D319" s="42" t="s">
        <v>410</v>
      </c>
      <c r="E319" s="42" t="s">
        <v>411</v>
      </c>
      <c r="F319" s="47">
        <v>4395852.2</v>
      </c>
      <c r="G319" s="44">
        <v>46381</v>
      </c>
      <c r="H319" s="45" t="e">
        <f t="shared" si="1"/>
        <v>#N/A</v>
      </c>
      <c r="I319" s="46">
        <v>46037.724363425928</v>
      </c>
    </row>
    <row r="320" spans="1:10">
      <c r="A320" s="40" t="s">
        <v>534</v>
      </c>
      <c r="B320" s="40" t="s">
        <v>535</v>
      </c>
      <c r="C320" s="41">
        <v>46001</v>
      </c>
      <c r="D320" s="42" t="s">
        <v>410</v>
      </c>
      <c r="E320" s="42" t="s">
        <v>411</v>
      </c>
      <c r="F320" s="47">
        <v>290866.78000000003</v>
      </c>
      <c r="G320" s="44">
        <v>46351</v>
      </c>
      <c r="H320" s="45" t="e">
        <f t="shared" si="1"/>
        <v>#N/A</v>
      </c>
      <c r="I320" s="46">
        <v>46013.556620370371</v>
      </c>
    </row>
    <row r="321" spans="1:9">
      <c r="A321" s="40" t="s">
        <v>534</v>
      </c>
      <c r="B321" s="40" t="s">
        <v>535</v>
      </c>
      <c r="C321" s="41">
        <v>45971</v>
      </c>
      <c r="D321" s="42" t="s">
        <v>410</v>
      </c>
      <c r="E321" s="42" t="s">
        <v>411</v>
      </c>
      <c r="F321" s="47">
        <v>152607.16</v>
      </c>
      <c r="G321" s="44">
        <v>46320</v>
      </c>
      <c r="H321" s="45" t="e">
        <f t="shared" si="1"/>
        <v>#N/A</v>
      </c>
      <c r="I321" s="46">
        <v>45978.576527777775</v>
      </c>
    </row>
    <row r="322" spans="1:9">
      <c r="A322" s="40" t="s">
        <v>534</v>
      </c>
      <c r="B322" s="40" t="s">
        <v>535</v>
      </c>
      <c r="C322" s="41">
        <v>45940</v>
      </c>
      <c r="D322" s="42" t="s">
        <v>410</v>
      </c>
      <c r="E322" s="42" t="s">
        <v>411</v>
      </c>
      <c r="F322" s="47">
        <v>824593.59</v>
      </c>
      <c r="G322" s="44">
        <v>46290</v>
      </c>
      <c r="H322" s="45" t="e">
        <f t="shared" si="1"/>
        <v>#N/A</v>
      </c>
      <c r="I322" s="46">
        <v>45943.722534722219</v>
      </c>
    </row>
    <row r="323" spans="1:9">
      <c r="A323" s="40" t="s">
        <v>534</v>
      </c>
      <c r="B323" s="40" t="s">
        <v>535</v>
      </c>
      <c r="C323" s="41">
        <v>45910</v>
      </c>
      <c r="D323" s="42" t="s">
        <v>410</v>
      </c>
      <c r="E323" s="42" t="s">
        <v>411</v>
      </c>
      <c r="F323" s="47">
        <v>1928936.3</v>
      </c>
      <c r="G323" s="44">
        <v>46259</v>
      </c>
      <c r="H323" s="45" t="e">
        <f t="shared" si="1"/>
        <v>#N/A</v>
      </c>
      <c r="I323" s="46">
        <v>45943.728020833332</v>
      </c>
    </row>
    <row r="324" spans="1:9">
      <c r="A324" s="40" t="s">
        <v>534</v>
      </c>
      <c r="B324" s="40" t="s">
        <v>535</v>
      </c>
      <c r="C324" s="41">
        <v>45879</v>
      </c>
      <c r="D324" s="42" t="s">
        <v>410</v>
      </c>
      <c r="E324" s="42" t="s">
        <v>411</v>
      </c>
      <c r="F324" s="47">
        <v>858326.38</v>
      </c>
      <c r="G324" s="44">
        <v>46228</v>
      </c>
      <c r="H324" s="45" t="e">
        <f t="shared" si="1"/>
        <v>#N/A</v>
      </c>
      <c r="I324" s="46">
        <v>45938.709351851852</v>
      </c>
    </row>
    <row r="325" spans="1:9">
      <c r="A325" s="40" t="s">
        <v>534</v>
      </c>
      <c r="B325" s="40" t="s">
        <v>535</v>
      </c>
      <c r="C325" s="41">
        <v>45848</v>
      </c>
      <c r="D325" s="42" t="s">
        <v>410</v>
      </c>
      <c r="E325" s="42" t="s">
        <v>411</v>
      </c>
      <c r="F325" s="47">
        <v>1671265.02</v>
      </c>
      <c r="G325" s="44">
        <v>46198</v>
      </c>
      <c r="H325" s="45" t="e">
        <f t="shared" si="1"/>
        <v>#N/A</v>
      </c>
      <c r="I325" s="46">
        <v>45938.709351851852</v>
      </c>
    </row>
    <row r="326" spans="1:9">
      <c r="A326" s="40" t="s">
        <v>534</v>
      </c>
      <c r="B326" s="40" t="s">
        <v>535</v>
      </c>
      <c r="C326" s="41">
        <v>45818</v>
      </c>
      <c r="D326" s="42" t="s">
        <v>410</v>
      </c>
      <c r="E326" s="42" t="s">
        <v>411</v>
      </c>
      <c r="F326" s="47">
        <v>-510840.05</v>
      </c>
      <c r="G326" s="44">
        <v>46167</v>
      </c>
      <c r="H326" s="45" t="e">
        <f t="shared" si="1"/>
        <v>#N/A</v>
      </c>
      <c r="I326" s="46">
        <v>45938.709351851852</v>
      </c>
    </row>
    <row r="327" spans="1:9">
      <c r="A327" s="40" t="s">
        <v>534</v>
      </c>
      <c r="B327" s="40" t="s">
        <v>535</v>
      </c>
      <c r="C327" s="41">
        <v>45787</v>
      </c>
      <c r="D327" s="42" t="s">
        <v>410</v>
      </c>
      <c r="E327" s="42" t="s">
        <v>411</v>
      </c>
      <c r="F327" s="47">
        <v>363649.36</v>
      </c>
      <c r="G327" s="44">
        <v>46137</v>
      </c>
      <c r="H327" s="45" t="e">
        <f t="shared" si="1"/>
        <v>#N/A</v>
      </c>
      <c r="I327" s="46">
        <v>45938.709351851852</v>
      </c>
    </row>
    <row r="328" spans="1:9">
      <c r="A328" s="40" t="s">
        <v>534</v>
      </c>
      <c r="B328" s="40" t="s">
        <v>535</v>
      </c>
      <c r="C328" s="41">
        <v>45757</v>
      </c>
      <c r="D328" s="42" t="s">
        <v>410</v>
      </c>
      <c r="E328" s="42" t="s">
        <v>411</v>
      </c>
      <c r="F328" s="47">
        <v>2163961.98</v>
      </c>
      <c r="G328" s="44">
        <v>46106</v>
      </c>
      <c r="H328" s="45" t="e">
        <f t="shared" si="1"/>
        <v>#N/A</v>
      </c>
      <c r="I328" s="46">
        <v>45938.709351851852</v>
      </c>
    </row>
    <row r="329" spans="1:9">
      <c r="A329" s="40" t="s">
        <v>534</v>
      </c>
      <c r="B329" s="40" t="s">
        <v>535</v>
      </c>
      <c r="C329" s="41">
        <v>45726</v>
      </c>
      <c r="D329" s="42" t="s">
        <v>410</v>
      </c>
      <c r="E329" s="42" t="s">
        <v>411</v>
      </c>
      <c r="F329" s="47">
        <v>1764841.13</v>
      </c>
      <c r="G329" s="44">
        <v>46078</v>
      </c>
      <c r="H329" s="45" t="e">
        <f t="shared" si="1"/>
        <v>#N/A</v>
      </c>
      <c r="I329" s="46">
        <v>45938.709351851852</v>
      </c>
    </row>
    <row r="330" spans="1:9">
      <c r="A330" s="40" t="s">
        <v>534</v>
      </c>
      <c r="B330" s="40" t="s">
        <v>535</v>
      </c>
      <c r="C330" s="41">
        <v>45698</v>
      </c>
      <c r="D330" s="42" t="s">
        <v>410</v>
      </c>
      <c r="E330" s="42" t="s">
        <v>411</v>
      </c>
      <c r="F330" s="47">
        <v>5417449.4699999997</v>
      </c>
      <c r="G330" s="44">
        <v>46047</v>
      </c>
      <c r="H330" s="45" t="e">
        <f t="shared" si="1"/>
        <v>#N/A</v>
      </c>
      <c r="I330" s="46">
        <v>45938.709351851852</v>
      </c>
    </row>
    <row r="331" spans="1:9">
      <c r="A331" s="40" t="s">
        <v>536</v>
      </c>
      <c r="B331" s="40" t="s">
        <v>537</v>
      </c>
      <c r="C331" s="41">
        <v>46122</v>
      </c>
      <c r="D331" s="42" t="s">
        <v>476</v>
      </c>
      <c r="E331" s="42" t="s">
        <v>411</v>
      </c>
      <c r="F331" s="43"/>
      <c r="G331" s="44">
        <v>46107</v>
      </c>
      <c r="H331" s="45" t="e">
        <f t="shared" si="1"/>
        <v>#N/A</v>
      </c>
      <c r="I331" s="46"/>
    </row>
    <row r="332" spans="1:9">
      <c r="A332" s="40" t="s">
        <v>536</v>
      </c>
      <c r="B332" s="40" t="s">
        <v>537</v>
      </c>
      <c r="C332" s="41">
        <v>46091</v>
      </c>
      <c r="D332" s="42" t="s">
        <v>476</v>
      </c>
      <c r="E332" s="42" t="s">
        <v>411</v>
      </c>
      <c r="F332" s="43"/>
      <c r="G332" s="44">
        <v>46079</v>
      </c>
      <c r="H332" s="45" t="e">
        <f t="shared" si="1"/>
        <v>#N/A</v>
      </c>
      <c r="I332" s="43"/>
    </row>
    <row r="333" spans="1:9">
      <c r="A333" s="40" t="s">
        <v>536</v>
      </c>
      <c r="B333" s="40" t="s">
        <v>537</v>
      </c>
      <c r="C333" s="41">
        <v>46063</v>
      </c>
      <c r="D333" s="42" t="s">
        <v>476</v>
      </c>
      <c r="E333" s="42" t="s">
        <v>411</v>
      </c>
      <c r="F333" s="47">
        <v>93.8</v>
      </c>
      <c r="G333" s="44">
        <v>46048</v>
      </c>
      <c r="H333" s="45" t="e">
        <f t="shared" si="1"/>
        <v>#N/A</v>
      </c>
      <c r="I333" s="46">
        <v>46070.583067129628</v>
      </c>
    </row>
    <row r="334" spans="1:9">
      <c r="A334" s="40" t="s">
        <v>536</v>
      </c>
      <c r="B334" s="40" t="s">
        <v>537</v>
      </c>
      <c r="C334" s="41">
        <v>46032</v>
      </c>
      <c r="D334" s="42" t="s">
        <v>476</v>
      </c>
      <c r="E334" s="42" t="s">
        <v>411</v>
      </c>
      <c r="F334" s="47">
        <v>90.2</v>
      </c>
      <c r="G334" s="44">
        <v>46381</v>
      </c>
      <c r="H334" s="45" t="e">
        <f t="shared" si="1"/>
        <v>#N/A</v>
      </c>
      <c r="I334" s="46">
        <v>46037.574131944442</v>
      </c>
    </row>
    <row r="335" spans="1:9">
      <c r="A335" s="40" t="s">
        <v>536</v>
      </c>
      <c r="B335" s="40" t="s">
        <v>537</v>
      </c>
      <c r="C335" s="41">
        <v>46001</v>
      </c>
      <c r="D335" s="42" t="s">
        <v>476</v>
      </c>
      <c r="E335" s="42" t="s">
        <v>411</v>
      </c>
      <c r="F335" s="47">
        <v>95.6</v>
      </c>
      <c r="G335" s="44">
        <v>46351</v>
      </c>
      <c r="H335" s="45" t="e">
        <f t="shared" si="1"/>
        <v>#N/A</v>
      </c>
      <c r="I335" s="46">
        <v>45999.541724537034</v>
      </c>
    </row>
    <row r="336" spans="1:9">
      <c r="A336" s="40" t="s">
        <v>536</v>
      </c>
      <c r="B336" s="40" t="s">
        <v>537</v>
      </c>
      <c r="C336" s="41">
        <v>45971</v>
      </c>
      <c r="D336" s="42" t="s">
        <v>476</v>
      </c>
      <c r="E336" s="42" t="s">
        <v>411</v>
      </c>
      <c r="F336" s="47">
        <v>93.6</v>
      </c>
      <c r="G336" s="44">
        <v>46320</v>
      </c>
      <c r="H336" s="45" t="e">
        <f t="shared" si="1"/>
        <v>#N/A</v>
      </c>
      <c r="I336" s="46">
        <v>45978.897731481484</v>
      </c>
    </row>
    <row r="337" spans="1:9">
      <c r="A337" s="40" t="s">
        <v>536</v>
      </c>
      <c r="B337" s="40" t="s">
        <v>537</v>
      </c>
      <c r="C337" s="41">
        <v>45940</v>
      </c>
      <c r="D337" s="42" t="s">
        <v>476</v>
      </c>
      <c r="E337" s="42" t="s">
        <v>411</v>
      </c>
      <c r="F337" s="47">
        <v>95.1</v>
      </c>
      <c r="G337" s="44">
        <v>46290</v>
      </c>
      <c r="H337" s="45" t="e">
        <f t="shared" si="1"/>
        <v>#N/A</v>
      </c>
      <c r="I337" s="46">
        <v>45944.620532407411</v>
      </c>
    </row>
    <row r="338" spans="1:9">
      <c r="A338" s="40" t="s">
        <v>536</v>
      </c>
      <c r="B338" s="40" t="s">
        <v>537</v>
      </c>
      <c r="C338" s="41">
        <v>45910</v>
      </c>
      <c r="D338" s="42" t="s">
        <v>476</v>
      </c>
      <c r="E338" s="42" t="s">
        <v>411</v>
      </c>
      <c r="F338" s="47">
        <v>97.3</v>
      </c>
      <c r="G338" s="44">
        <v>46259</v>
      </c>
      <c r="H338" s="45" t="e">
        <f t="shared" si="1"/>
        <v>#N/A</v>
      </c>
      <c r="I338" s="46">
        <v>45944.618263888886</v>
      </c>
    </row>
    <row r="339" spans="1:9">
      <c r="A339" s="40" t="s">
        <v>536</v>
      </c>
      <c r="B339" s="40" t="s">
        <v>537</v>
      </c>
      <c r="C339" s="41">
        <v>45879</v>
      </c>
      <c r="D339" s="42" t="s">
        <v>476</v>
      </c>
      <c r="E339" s="42" t="s">
        <v>411</v>
      </c>
      <c r="F339" s="47">
        <v>96.4</v>
      </c>
      <c r="G339" s="44">
        <v>46228</v>
      </c>
      <c r="H339" s="45" t="e">
        <f t="shared" si="1"/>
        <v>#N/A</v>
      </c>
      <c r="I339" s="46">
        <v>45936.650277777779</v>
      </c>
    </row>
    <row r="340" spans="1:9">
      <c r="A340" s="40" t="s">
        <v>536</v>
      </c>
      <c r="B340" s="40" t="s">
        <v>537</v>
      </c>
      <c r="C340" s="41">
        <v>45848</v>
      </c>
      <c r="D340" s="42" t="s">
        <v>476</v>
      </c>
      <c r="E340" s="42" t="s">
        <v>411</v>
      </c>
      <c r="F340" s="47">
        <v>96.08</v>
      </c>
      <c r="G340" s="44">
        <v>46198</v>
      </c>
      <c r="H340" s="45" t="e">
        <f t="shared" si="1"/>
        <v>#N/A</v>
      </c>
      <c r="I340" s="46">
        <v>45936.650277777779</v>
      </c>
    </row>
    <row r="341" spans="1:9">
      <c r="A341" s="40" t="s">
        <v>536</v>
      </c>
      <c r="B341" s="40" t="s">
        <v>537</v>
      </c>
      <c r="C341" s="41">
        <v>45818</v>
      </c>
      <c r="D341" s="42" t="s">
        <v>476</v>
      </c>
      <c r="E341" s="42" t="s">
        <v>411</v>
      </c>
      <c r="F341" s="47">
        <v>96.8</v>
      </c>
      <c r="G341" s="44">
        <v>46167</v>
      </c>
      <c r="H341" s="45" t="e">
        <f t="shared" si="1"/>
        <v>#N/A</v>
      </c>
      <c r="I341" s="46">
        <v>45936.650277777779</v>
      </c>
    </row>
    <row r="342" spans="1:9">
      <c r="A342" s="40" t="s">
        <v>536</v>
      </c>
      <c r="B342" s="40" t="s">
        <v>537</v>
      </c>
      <c r="C342" s="41">
        <v>45787</v>
      </c>
      <c r="D342" s="42" t="s">
        <v>476</v>
      </c>
      <c r="E342" s="42" t="s">
        <v>411</v>
      </c>
      <c r="F342" s="47">
        <v>85.2</v>
      </c>
      <c r="G342" s="44">
        <v>46137</v>
      </c>
      <c r="H342" s="45" t="e">
        <f t="shared" si="1"/>
        <v>#N/A</v>
      </c>
      <c r="I342" s="46">
        <v>45936.650277777779</v>
      </c>
    </row>
    <row r="343" spans="1:9">
      <c r="A343" s="40" t="s">
        <v>536</v>
      </c>
      <c r="B343" s="40" t="s">
        <v>537</v>
      </c>
      <c r="C343" s="41">
        <v>45757</v>
      </c>
      <c r="D343" s="42" t="s">
        <v>476</v>
      </c>
      <c r="E343" s="42" t="s">
        <v>411</v>
      </c>
      <c r="F343" s="47">
        <v>94.8</v>
      </c>
      <c r="G343" s="44">
        <v>46106</v>
      </c>
      <c r="H343" s="45" t="e">
        <f t="shared" si="1"/>
        <v>#N/A</v>
      </c>
      <c r="I343" s="46">
        <v>45936.650277777779</v>
      </c>
    </row>
    <row r="344" spans="1:9">
      <c r="A344" s="40" t="s">
        <v>536</v>
      </c>
      <c r="B344" s="40" t="s">
        <v>537</v>
      </c>
      <c r="C344" s="41">
        <v>45726</v>
      </c>
      <c r="D344" s="42" t="s">
        <v>476</v>
      </c>
      <c r="E344" s="42" t="s">
        <v>411</v>
      </c>
      <c r="F344" s="47">
        <v>93.6</v>
      </c>
      <c r="G344" s="44">
        <v>46078</v>
      </c>
      <c r="H344" s="45" t="e">
        <f t="shared" si="1"/>
        <v>#N/A</v>
      </c>
      <c r="I344" s="46">
        <v>45936.650277777779</v>
      </c>
    </row>
    <row r="345" spans="1:9">
      <c r="A345" s="40" t="s">
        <v>536</v>
      </c>
      <c r="B345" s="40" t="s">
        <v>537</v>
      </c>
      <c r="C345" s="41">
        <v>45698</v>
      </c>
      <c r="D345" s="42" t="s">
        <v>476</v>
      </c>
      <c r="E345" s="42" t="s">
        <v>411</v>
      </c>
      <c r="F345" s="47">
        <v>0</v>
      </c>
      <c r="G345" s="44">
        <v>46047</v>
      </c>
      <c r="H345" s="45" t="e">
        <f t="shared" si="1"/>
        <v>#N/A</v>
      </c>
      <c r="I345" s="46">
        <v>45936.650277777779</v>
      </c>
    </row>
    <row r="346" spans="1:9">
      <c r="A346" s="40" t="s">
        <v>538</v>
      </c>
      <c r="B346" s="40" t="s">
        <v>539</v>
      </c>
      <c r="C346" s="41">
        <v>46122</v>
      </c>
      <c r="D346" s="42" t="s">
        <v>410</v>
      </c>
      <c r="E346" s="42" t="s">
        <v>411</v>
      </c>
      <c r="F346" s="43"/>
      <c r="G346" s="44">
        <v>46107</v>
      </c>
      <c r="H346" s="45" t="e">
        <f t="shared" si="1"/>
        <v>#N/A</v>
      </c>
      <c r="I346" s="46"/>
    </row>
    <row r="347" spans="1:9">
      <c r="A347" s="40" t="s">
        <v>538</v>
      </c>
      <c r="B347" s="40" t="s">
        <v>539</v>
      </c>
      <c r="C347" s="41">
        <v>46091</v>
      </c>
      <c r="D347" s="42" t="s">
        <v>410</v>
      </c>
      <c r="E347" s="42" t="s">
        <v>411</v>
      </c>
      <c r="F347" s="43"/>
      <c r="G347" s="44">
        <v>46079</v>
      </c>
      <c r="H347" s="45" t="e">
        <f t="shared" si="1"/>
        <v>#N/A</v>
      </c>
      <c r="I347" s="43"/>
    </row>
    <row r="348" spans="1:9">
      <c r="A348" s="40" t="s">
        <v>538</v>
      </c>
      <c r="B348" s="40" t="s">
        <v>539</v>
      </c>
      <c r="C348" s="41">
        <v>46063</v>
      </c>
      <c r="D348" s="42" t="s">
        <v>410</v>
      </c>
      <c r="E348" s="42" t="s">
        <v>411</v>
      </c>
      <c r="F348" s="47">
        <v>433746.09</v>
      </c>
      <c r="G348" s="44">
        <v>46048</v>
      </c>
      <c r="H348" s="45" t="e">
        <f t="shared" si="1"/>
        <v>#N/A</v>
      </c>
      <c r="I348" s="46">
        <v>46070.581805555557</v>
      </c>
    </row>
    <row r="349" spans="1:9">
      <c r="A349" s="40" t="s">
        <v>538</v>
      </c>
      <c r="B349" s="40" t="s">
        <v>539</v>
      </c>
      <c r="C349" s="41">
        <v>46032</v>
      </c>
      <c r="D349" s="42" t="s">
        <v>410</v>
      </c>
      <c r="E349" s="42" t="s">
        <v>411</v>
      </c>
      <c r="F349" s="47">
        <v>550856.98</v>
      </c>
      <c r="G349" s="44">
        <v>46381</v>
      </c>
      <c r="H349" s="45" t="e">
        <f t="shared" si="1"/>
        <v>#N/A</v>
      </c>
      <c r="I349" s="46">
        <v>46037.574756944443</v>
      </c>
    </row>
    <row r="350" spans="1:9">
      <c r="A350" s="40" t="s">
        <v>538</v>
      </c>
      <c r="B350" s="40" t="s">
        <v>539</v>
      </c>
      <c r="C350" s="41">
        <v>46001</v>
      </c>
      <c r="D350" s="42" t="s">
        <v>410</v>
      </c>
      <c r="E350" s="42" t="s">
        <v>411</v>
      </c>
      <c r="F350" s="47">
        <v>432282.13</v>
      </c>
      <c r="G350" s="44">
        <v>46351</v>
      </c>
      <c r="H350" s="45" t="e">
        <f t="shared" si="1"/>
        <v>#N/A</v>
      </c>
      <c r="I350" s="46">
        <v>45999.540486111109</v>
      </c>
    </row>
    <row r="351" spans="1:9">
      <c r="A351" s="40" t="s">
        <v>538</v>
      </c>
      <c r="B351" s="40" t="s">
        <v>539</v>
      </c>
      <c r="C351" s="41">
        <v>45971</v>
      </c>
      <c r="D351" s="42" t="s">
        <v>410</v>
      </c>
      <c r="E351" s="42" t="s">
        <v>411</v>
      </c>
      <c r="F351" s="47">
        <v>457726.94</v>
      </c>
      <c r="G351" s="44">
        <v>46320</v>
      </c>
      <c r="H351" s="45" t="e">
        <f t="shared" si="1"/>
        <v>#N/A</v>
      </c>
      <c r="I351" s="46">
        <v>45977.521064814813</v>
      </c>
    </row>
    <row r="352" spans="1:9">
      <c r="A352" s="40" t="s">
        <v>538</v>
      </c>
      <c r="B352" s="40" t="s">
        <v>539</v>
      </c>
      <c r="C352" s="41">
        <v>45940</v>
      </c>
      <c r="D352" s="42" t="s">
        <v>410</v>
      </c>
      <c r="E352" s="42" t="s">
        <v>411</v>
      </c>
      <c r="F352" s="47">
        <v>430858</v>
      </c>
      <c r="G352" s="44">
        <v>46290</v>
      </c>
      <c r="H352" s="45" t="e">
        <f t="shared" si="1"/>
        <v>#N/A</v>
      </c>
      <c r="I352" s="46">
        <v>45938.901412037034</v>
      </c>
    </row>
    <row r="353" spans="1:10">
      <c r="A353" s="40" t="s">
        <v>538</v>
      </c>
      <c r="B353" s="40" t="s">
        <v>539</v>
      </c>
      <c r="C353" s="41">
        <v>45910</v>
      </c>
      <c r="D353" s="42" t="s">
        <v>410</v>
      </c>
      <c r="E353" s="42" t="s">
        <v>411</v>
      </c>
      <c r="F353" s="47">
        <v>435017.75</v>
      </c>
      <c r="G353" s="44">
        <v>46259</v>
      </c>
      <c r="H353" s="45" t="e">
        <f t="shared" si="1"/>
        <v>#N/A</v>
      </c>
      <c r="I353" s="46">
        <v>45938.902222222219</v>
      </c>
    </row>
    <row r="354" spans="1:10">
      <c r="A354" s="40" t="s">
        <v>538</v>
      </c>
      <c r="B354" s="40" t="s">
        <v>539</v>
      </c>
      <c r="C354" s="41">
        <v>45879</v>
      </c>
      <c r="D354" s="42" t="s">
        <v>410</v>
      </c>
      <c r="E354" s="42" t="s">
        <v>411</v>
      </c>
      <c r="F354" s="47">
        <v>430743.49</v>
      </c>
      <c r="G354" s="44">
        <v>46228</v>
      </c>
      <c r="H354" s="45" t="e">
        <f t="shared" si="1"/>
        <v>#N/A</v>
      </c>
      <c r="I354" s="46">
        <v>45938.708518518521</v>
      </c>
    </row>
    <row r="355" spans="1:10">
      <c r="A355" s="40" t="s">
        <v>538</v>
      </c>
      <c r="B355" s="40" t="s">
        <v>539</v>
      </c>
      <c r="C355" s="41">
        <v>45848</v>
      </c>
      <c r="D355" s="42" t="s">
        <v>410</v>
      </c>
      <c r="E355" s="42" t="s">
        <v>411</v>
      </c>
      <c r="F355" s="47">
        <v>436720.62</v>
      </c>
      <c r="G355" s="44">
        <v>46198</v>
      </c>
      <c r="H355" s="45" t="e">
        <f t="shared" si="1"/>
        <v>#N/A</v>
      </c>
      <c r="I355" s="46">
        <v>45938.708518518521</v>
      </c>
    </row>
    <row r="356" spans="1:10">
      <c r="A356" s="40" t="s">
        <v>538</v>
      </c>
      <c r="B356" s="40" t="s">
        <v>539</v>
      </c>
      <c r="C356" s="41">
        <v>45818</v>
      </c>
      <c r="D356" s="42" t="s">
        <v>410</v>
      </c>
      <c r="E356" s="42" t="s">
        <v>411</v>
      </c>
      <c r="F356" s="47">
        <v>434042.68</v>
      </c>
      <c r="G356" s="44">
        <v>46167</v>
      </c>
      <c r="H356" s="45" t="e">
        <f t="shared" si="1"/>
        <v>#N/A</v>
      </c>
      <c r="I356" s="46">
        <v>45938.708518518521</v>
      </c>
    </row>
    <row r="357" spans="1:10">
      <c r="A357" s="40" t="s">
        <v>538</v>
      </c>
      <c r="B357" s="40" t="s">
        <v>539</v>
      </c>
      <c r="C357" s="41">
        <v>45787</v>
      </c>
      <c r="D357" s="42" t="s">
        <v>410</v>
      </c>
      <c r="E357" s="42" t="s">
        <v>411</v>
      </c>
      <c r="F357" s="47">
        <v>423585.81</v>
      </c>
      <c r="G357" s="44">
        <v>46137</v>
      </c>
      <c r="H357" s="45" t="e">
        <f t="shared" si="1"/>
        <v>#N/A</v>
      </c>
      <c r="I357" s="46">
        <v>45938.708518518521</v>
      </c>
    </row>
    <row r="358" spans="1:10">
      <c r="A358" s="40" t="s">
        <v>538</v>
      </c>
      <c r="B358" s="40" t="s">
        <v>539</v>
      </c>
      <c r="C358" s="41">
        <v>45757</v>
      </c>
      <c r="D358" s="42" t="s">
        <v>410</v>
      </c>
      <c r="E358" s="42" t="s">
        <v>411</v>
      </c>
      <c r="F358" s="47">
        <v>434826.01</v>
      </c>
      <c r="G358" s="44">
        <v>46106</v>
      </c>
      <c r="H358" s="45" t="e">
        <f t="shared" si="1"/>
        <v>#N/A</v>
      </c>
      <c r="I358" s="46">
        <v>45938.708506944444</v>
      </c>
    </row>
    <row r="359" spans="1:10">
      <c r="A359" s="40" t="s">
        <v>538</v>
      </c>
      <c r="B359" s="40" t="s">
        <v>539</v>
      </c>
      <c r="C359" s="41">
        <v>45726</v>
      </c>
      <c r="D359" s="42" t="s">
        <v>410</v>
      </c>
      <c r="E359" s="42" t="s">
        <v>411</v>
      </c>
      <c r="F359" s="47">
        <v>431357.23</v>
      </c>
      <c r="G359" s="44">
        <v>46078</v>
      </c>
      <c r="H359" s="45" t="e">
        <f t="shared" si="1"/>
        <v>#N/A</v>
      </c>
      <c r="I359" s="46">
        <v>45938.708506944444</v>
      </c>
    </row>
    <row r="360" spans="1:10">
      <c r="A360" s="40" t="s">
        <v>538</v>
      </c>
      <c r="B360" s="40" t="s">
        <v>539</v>
      </c>
      <c r="C360" s="41">
        <v>45698</v>
      </c>
      <c r="D360" s="42" t="s">
        <v>410</v>
      </c>
      <c r="E360" s="42" t="s">
        <v>411</v>
      </c>
      <c r="F360" s="47">
        <v>456925.42</v>
      </c>
      <c r="G360" s="44">
        <v>46047</v>
      </c>
      <c r="H360" s="45" t="e">
        <f t="shared" si="1"/>
        <v>#N/A</v>
      </c>
      <c r="I360" s="46">
        <v>45938.708506944444</v>
      </c>
    </row>
    <row r="361" spans="1:10">
      <c r="A361" s="40" t="s">
        <v>540</v>
      </c>
      <c r="B361" s="40" t="s">
        <v>541</v>
      </c>
      <c r="C361" s="41">
        <v>46122</v>
      </c>
      <c r="D361" s="42" t="s">
        <v>542</v>
      </c>
      <c r="E361" s="42" t="s">
        <v>411</v>
      </c>
      <c r="F361" s="43"/>
      <c r="G361" s="44">
        <v>46107</v>
      </c>
      <c r="H361" s="45" t="e">
        <f t="shared" si="1"/>
        <v>#N/A</v>
      </c>
      <c r="I361" s="46"/>
    </row>
    <row r="362" spans="1:10">
      <c r="A362" s="40" t="s">
        <v>540</v>
      </c>
      <c r="B362" s="40" t="s">
        <v>541</v>
      </c>
      <c r="C362" s="41">
        <v>46091</v>
      </c>
      <c r="D362" s="42" t="s">
        <v>542</v>
      </c>
      <c r="E362" s="42" t="s">
        <v>411</v>
      </c>
      <c r="F362" s="43"/>
      <c r="G362" s="44">
        <v>46079</v>
      </c>
      <c r="H362" s="45" t="e">
        <f t="shared" si="1"/>
        <v>#N/A</v>
      </c>
      <c r="I362" s="43"/>
    </row>
    <row r="363" spans="1:10">
      <c r="A363" s="40" t="s">
        <v>540</v>
      </c>
      <c r="B363" s="40" t="s">
        <v>541</v>
      </c>
      <c r="C363" s="41">
        <v>46063</v>
      </c>
      <c r="D363" s="42" t="s">
        <v>542</v>
      </c>
      <c r="E363" s="42" t="s">
        <v>411</v>
      </c>
      <c r="F363" s="47">
        <v>-0.18</v>
      </c>
      <c r="G363" s="44">
        <v>46048</v>
      </c>
      <c r="H363" s="45" t="e">
        <f t="shared" si="1"/>
        <v>#N/A</v>
      </c>
      <c r="I363" s="46">
        <v>46070.641631944447</v>
      </c>
    </row>
    <row r="364" spans="1:10">
      <c r="A364" s="40" t="s">
        <v>540</v>
      </c>
      <c r="B364" s="40" t="s">
        <v>541</v>
      </c>
      <c r="C364" s="41">
        <v>46032</v>
      </c>
      <c r="D364" s="42" t="s">
        <v>542</v>
      </c>
      <c r="E364" s="42" t="s">
        <v>411</v>
      </c>
      <c r="F364" s="47">
        <v>-0.19</v>
      </c>
      <c r="G364" s="44">
        <v>46381</v>
      </c>
      <c r="H364" s="45" t="e">
        <f t="shared" si="1"/>
        <v>#N/A</v>
      </c>
      <c r="I364" s="46">
        <v>46041.512997685182</v>
      </c>
      <c r="J364" s="40" t="s">
        <v>543</v>
      </c>
    </row>
    <row r="365" spans="1:10">
      <c r="A365" s="40" t="s">
        <v>540</v>
      </c>
      <c r="B365" s="40" t="s">
        <v>541</v>
      </c>
      <c r="C365" s="41">
        <v>46001</v>
      </c>
      <c r="D365" s="42" t="s">
        <v>542</v>
      </c>
      <c r="E365" s="42" t="s">
        <v>411</v>
      </c>
      <c r="F365" s="47">
        <v>-0.17</v>
      </c>
      <c r="G365" s="44">
        <v>46351</v>
      </c>
      <c r="H365" s="45" t="e">
        <f t="shared" si="1"/>
        <v>#N/A</v>
      </c>
      <c r="I365" s="46">
        <v>46002.572893518518</v>
      </c>
      <c r="J365" s="40" t="s">
        <v>544</v>
      </c>
    </row>
    <row r="366" spans="1:10">
      <c r="A366" s="40" t="s">
        <v>540</v>
      </c>
      <c r="B366" s="40" t="s">
        <v>541</v>
      </c>
      <c r="C366" s="41">
        <v>45971</v>
      </c>
      <c r="D366" s="42" t="s">
        <v>542</v>
      </c>
      <c r="E366" s="42" t="s">
        <v>411</v>
      </c>
      <c r="F366" s="47">
        <v>-1.17</v>
      </c>
      <c r="G366" s="44">
        <v>46320</v>
      </c>
      <c r="H366" s="45" t="e">
        <f t="shared" si="1"/>
        <v>#N/A</v>
      </c>
      <c r="I366" s="46">
        <v>45977.532500000001</v>
      </c>
      <c r="J366" s="40" t="s">
        <v>545</v>
      </c>
    </row>
    <row r="367" spans="1:10">
      <c r="A367" s="40" t="s">
        <v>540</v>
      </c>
      <c r="B367" s="40" t="s">
        <v>541</v>
      </c>
      <c r="C367" s="41">
        <v>45940</v>
      </c>
      <c r="D367" s="42" t="s">
        <v>542</v>
      </c>
      <c r="E367" s="42" t="s">
        <v>411</v>
      </c>
      <c r="F367" s="47">
        <v>-0.76</v>
      </c>
      <c r="G367" s="44">
        <v>46290</v>
      </c>
      <c r="H367" s="45" t="e">
        <f t="shared" si="1"/>
        <v>#N/A</v>
      </c>
      <c r="I367" s="46">
        <v>45939.939988425926</v>
      </c>
    </row>
    <row r="368" spans="1:10">
      <c r="A368" s="40" t="s">
        <v>540</v>
      </c>
      <c r="B368" s="40" t="s">
        <v>541</v>
      </c>
      <c r="C368" s="41">
        <v>45910</v>
      </c>
      <c r="D368" s="42" t="s">
        <v>542</v>
      </c>
      <c r="E368" s="42" t="s">
        <v>411</v>
      </c>
      <c r="F368" s="47">
        <v>-0.65</v>
      </c>
      <c r="G368" s="44">
        <v>46259</v>
      </c>
      <c r="H368" s="45" t="e">
        <f t="shared" si="1"/>
        <v>#N/A</v>
      </c>
      <c r="I368" s="46">
        <v>45939.939699074072</v>
      </c>
    </row>
    <row r="369" spans="1:10">
      <c r="A369" s="40" t="s">
        <v>540</v>
      </c>
      <c r="B369" s="40" t="s">
        <v>541</v>
      </c>
      <c r="C369" s="41">
        <v>45879</v>
      </c>
      <c r="D369" s="42" t="s">
        <v>542</v>
      </c>
      <c r="E369" s="42" t="s">
        <v>411</v>
      </c>
      <c r="F369" s="47">
        <v>-1.1200000000000001</v>
      </c>
      <c r="G369" s="44">
        <v>46228</v>
      </c>
      <c r="H369" s="45" t="e">
        <f t="shared" si="1"/>
        <v>#N/A</v>
      </c>
      <c r="I369" s="46">
        <v>45938.711446759262</v>
      </c>
    </row>
    <row r="370" spans="1:10">
      <c r="A370" s="40" t="s">
        <v>540</v>
      </c>
      <c r="B370" s="40" t="s">
        <v>541</v>
      </c>
      <c r="C370" s="41">
        <v>45848</v>
      </c>
      <c r="D370" s="42" t="s">
        <v>542</v>
      </c>
      <c r="E370" s="42" t="s">
        <v>411</v>
      </c>
      <c r="F370" s="47">
        <v>-0.84</v>
      </c>
      <c r="G370" s="44">
        <v>46198</v>
      </c>
      <c r="H370" s="45" t="e">
        <f t="shared" si="1"/>
        <v>#N/A</v>
      </c>
      <c r="I370" s="46">
        <v>45938.711446759262</v>
      </c>
    </row>
    <row r="371" spans="1:10">
      <c r="A371" s="40" t="s">
        <v>540</v>
      </c>
      <c r="B371" s="40" t="s">
        <v>541</v>
      </c>
      <c r="C371" s="41">
        <v>45818</v>
      </c>
      <c r="D371" s="42" t="s">
        <v>542</v>
      </c>
      <c r="E371" s="42" t="s">
        <v>411</v>
      </c>
      <c r="F371" s="47">
        <v>0.19</v>
      </c>
      <c r="G371" s="44">
        <v>46167</v>
      </c>
      <c r="H371" s="45" t="e">
        <f t="shared" si="1"/>
        <v>#N/A</v>
      </c>
      <c r="I371" s="46">
        <v>45938.711446759262</v>
      </c>
    </row>
    <row r="372" spans="1:10">
      <c r="A372" s="40" t="s">
        <v>540</v>
      </c>
      <c r="B372" s="40" t="s">
        <v>541</v>
      </c>
      <c r="C372" s="41">
        <v>45787</v>
      </c>
      <c r="D372" s="42" t="s">
        <v>542</v>
      </c>
      <c r="E372" s="42" t="s">
        <v>411</v>
      </c>
      <c r="F372" s="47">
        <v>-0.79</v>
      </c>
      <c r="G372" s="44">
        <v>46137</v>
      </c>
      <c r="H372" s="45" t="e">
        <f t="shared" si="1"/>
        <v>#N/A</v>
      </c>
      <c r="I372" s="46">
        <v>45938.711446759262</v>
      </c>
    </row>
    <row r="373" spans="1:10">
      <c r="A373" s="40" t="s">
        <v>540</v>
      </c>
      <c r="B373" s="40" t="s">
        <v>541</v>
      </c>
      <c r="C373" s="41">
        <v>45757</v>
      </c>
      <c r="D373" s="42" t="s">
        <v>542</v>
      </c>
      <c r="E373" s="42" t="s">
        <v>411</v>
      </c>
      <c r="F373" s="47">
        <v>-0.37</v>
      </c>
      <c r="G373" s="44">
        <v>46106</v>
      </c>
      <c r="H373" s="45" t="e">
        <f t="shared" si="1"/>
        <v>#N/A</v>
      </c>
      <c r="I373" s="46">
        <v>45938.711446759262</v>
      </c>
    </row>
    <row r="374" spans="1:10">
      <c r="A374" s="40" t="s">
        <v>540</v>
      </c>
      <c r="B374" s="40" t="s">
        <v>541</v>
      </c>
      <c r="C374" s="41">
        <v>45726</v>
      </c>
      <c r="D374" s="42" t="s">
        <v>542</v>
      </c>
      <c r="E374" s="42" t="s">
        <v>411</v>
      </c>
      <c r="F374" s="47">
        <v>0.66</v>
      </c>
      <c r="G374" s="44">
        <v>46078</v>
      </c>
      <c r="H374" s="45" t="e">
        <f t="shared" si="1"/>
        <v>#N/A</v>
      </c>
      <c r="I374" s="46">
        <v>45938.711446759262</v>
      </c>
    </row>
    <row r="375" spans="1:10">
      <c r="A375" s="40" t="s">
        <v>540</v>
      </c>
      <c r="B375" s="40" t="s">
        <v>541</v>
      </c>
      <c r="C375" s="41">
        <v>45698</v>
      </c>
      <c r="D375" s="42" t="s">
        <v>542</v>
      </c>
      <c r="E375" s="42" t="s">
        <v>411</v>
      </c>
      <c r="F375" s="47">
        <v>2.77</v>
      </c>
      <c r="G375" s="44">
        <v>46047</v>
      </c>
      <c r="H375" s="45" t="e">
        <f t="shared" si="1"/>
        <v>#N/A</v>
      </c>
      <c r="I375" s="46">
        <v>45938.711446759262</v>
      </c>
    </row>
    <row r="376" spans="1:10">
      <c r="A376" s="40" t="s">
        <v>546</v>
      </c>
      <c r="B376" s="40" t="s">
        <v>547</v>
      </c>
      <c r="C376" s="41">
        <v>46122</v>
      </c>
      <c r="D376" s="42" t="s">
        <v>410</v>
      </c>
      <c r="E376" s="42" t="s">
        <v>411</v>
      </c>
      <c r="F376" s="43"/>
      <c r="G376" s="44">
        <v>46107</v>
      </c>
      <c r="H376" s="45" t="e">
        <f t="shared" si="1"/>
        <v>#N/A</v>
      </c>
      <c r="I376" s="46"/>
    </row>
    <row r="377" spans="1:10">
      <c r="A377" s="40" t="s">
        <v>546</v>
      </c>
      <c r="B377" s="40" t="s">
        <v>547</v>
      </c>
      <c r="C377" s="41">
        <v>46091</v>
      </c>
      <c r="D377" s="42" t="s">
        <v>410</v>
      </c>
      <c r="E377" s="42" t="s">
        <v>411</v>
      </c>
      <c r="F377" s="43"/>
      <c r="G377" s="44">
        <v>46079</v>
      </c>
      <c r="H377" s="45" t="e">
        <f t="shared" si="1"/>
        <v>#N/A</v>
      </c>
      <c r="I377" s="43"/>
    </row>
    <row r="378" spans="1:10">
      <c r="A378" s="40" t="s">
        <v>546</v>
      </c>
      <c r="B378" s="40" t="s">
        <v>547</v>
      </c>
      <c r="C378" s="41">
        <v>46063</v>
      </c>
      <c r="D378" s="42" t="s">
        <v>410</v>
      </c>
      <c r="E378" s="42" t="s">
        <v>411</v>
      </c>
      <c r="F378" s="47">
        <v>0.02</v>
      </c>
      <c r="G378" s="44">
        <v>46048</v>
      </c>
      <c r="H378" s="45" t="e">
        <f t="shared" si="1"/>
        <v>#N/A</v>
      </c>
      <c r="I378" s="46">
        <v>46070.641944444447</v>
      </c>
    </row>
    <row r="379" spans="1:10">
      <c r="A379" s="40" t="s">
        <v>546</v>
      </c>
      <c r="B379" s="40" t="s">
        <v>547</v>
      </c>
      <c r="C379" s="41">
        <v>46032</v>
      </c>
      <c r="D379" s="42" t="s">
        <v>410</v>
      </c>
      <c r="E379" s="42" t="s">
        <v>411</v>
      </c>
      <c r="F379" s="47">
        <v>-0.32</v>
      </c>
      <c r="G379" s="44">
        <v>46381</v>
      </c>
      <c r="H379" s="45" t="e">
        <f t="shared" si="1"/>
        <v>#N/A</v>
      </c>
      <c r="I379" s="46">
        <v>46037.583321759259</v>
      </c>
      <c r="J379" s="40" t="s">
        <v>548</v>
      </c>
    </row>
    <row r="380" spans="1:10">
      <c r="A380" s="40" t="s">
        <v>546</v>
      </c>
      <c r="B380" s="40" t="s">
        <v>547</v>
      </c>
      <c r="C380" s="41">
        <v>46001</v>
      </c>
      <c r="D380" s="42" t="s">
        <v>410</v>
      </c>
      <c r="E380" s="42" t="s">
        <v>411</v>
      </c>
      <c r="F380" s="47">
        <v>-0.14000000000000001</v>
      </c>
      <c r="G380" s="44">
        <v>46351</v>
      </c>
      <c r="H380" s="45" t="e">
        <f t="shared" si="1"/>
        <v>#N/A</v>
      </c>
      <c r="I380" s="46">
        <v>46037.58289351852</v>
      </c>
      <c r="J380" s="40" t="s">
        <v>549</v>
      </c>
    </row>
    <row r="381" spans="1:10">
      <c r="A381" s="40" t="s">
        <v>546</v>
      </c>
      <c r="B381" s="40" t="s">
        <v>547</v>
      </c>
      <c r="C381" s="41">
        <v>45971</v>
      </c>
      <c r="D381" s="42" t="s">
        <v>410</v>
      </c>
      <c r="E381" s="42" t="s">
        <v>411</v>
      </c>
      <c r="F381" s="47">
        <v>-1.01</v>
      </c>
      <c r="G381" s="44">
        <v>46320</v>
      </c>
      <c r="H381" s="45" t="e">
        <f t="shared" si="1"/>
        <v>#N/A</v>
      </c>
      <c r="I381" s="46">
        <v>45978.837222222224</v>
      </c>
    </row>
    <row r="382" spans="1:10">
      <c r="A382" s="40" t="s">
        <v>546</v>
      </c>
      <c r="B382" s="40" t="s">
        <v>547</v>
      </c>
      <c r="C382" s="41">
        <v>45940</v>
      </c>
      <c r="D382" s="42" t="s">
        <v>410</v>
      </c>
      <c r="E382" s="42" t="s">
        <v>411</v>
      </c>
      <c r="F382" s="47">
        <v>-1.1299999999999999</v>
      </c>
      <c r="G382" s="44">
        <v>46290</v>
      </c>
      <c r="H382" s="45" t="e">
        <f t="shared" si="1"/>
        <v>#N/A</v>
      </c>
      <c r="I382" s="46">
        <v>45939.940370370372</v>
      </c>
    </row>
    <row r="383" spans="1:10">
      <c r="A383" s="40" t="s">
        <v>546</v>
      </c>
      <c r="B383" s="40" t="s">
        <v>547</v>
      </c>
      <c r="C383" s="41">
        <v>45910</v>
      </c>
      <c r="D383" s="42" t="s">
        <v>410</v>
      </c>
      <c r="E383" s="42" t="s">
        <v>411</v>
      </c>
      <c r="F383" s="47">
        <v>-1.65</v>
      </c>
      <c r="G383" s="44">
        <v>46259</v>
      </c>
      <c r="H383" s="45" t="e">
        <f t="shared" si="1"/>
        <v>#N/A</v>
      </c>
      <c r="I383" s="46">
        <v>45939.940324074072</v>
      </c>
    </row>
    <row r="384" spans="1:10">
      <c r="A384" s="40" t="s">
        <v>546</v>
      </c>
      <c r="B384" s="40" t="s">
        <v>547</v>
      </c>
      <c r="C384" s="41">
        <v>45879</v>
      </c>
      <c r="D384" s="42" t="s">
        <v>410</v>
      </c>
      <c r="E384" s="42" t="s">
        <v>411</v>
      </c>
      <c r="F384" s="47">
        <v>2.2000000000000002</v>
      </c>
      <c r="G384" s="44">
        <v>46228</v>
      </c>
      <c r="H384" s="45" t="e">
        <f t="shared" si="1"/>
        <v>#N/A</v>
      </c>
      <c r="I384" s="46">
        <v>45936.649328703701</v>
      </c>
    </row>
    <row r="385" spans="1:10">
      <c r="A385" s="40" t="s">
        <v>546</v>
      </c>
      <c r="B385" s="40" t="s">
        <v>547</v>
      </c>
      <c r="C385" s="41">
        <v>45848</v>
      </c>
      <c r="D385" s="42" t="s">
        <v>410</v>
      </c>
      <c r="E385" s="42" t="s">
        <v>411</v>
      </c>
      <c r="F385" s="47">
        <v>-0.02</v>
      </c>
      <c r="G385" s="44">
        <v>46198</v>
      </c>
      <c r="H385" s="45" t="e">
        <f t="shared" si="1"/>
        <v>#N/A</v>
      </c>
      <c r="I385" s="46">
        <v>45936.649328703701</v>
      </c>
    </row>
    <row r="386" spans="1:10">
      <c r="A386" s="40" t="s">
        <v>546</v>
      </c>
      <c r="B386" s="40" t="s">
        <v>547</v>
      </c>
      <c r="C386" s="41">
        <v>45818</v>
      </c>
      <c r="D386" s="42" t="s">
        <v>410</v>
      </c>
      <c r="E386" s="42" t="s">
        <v>411</v>
      </c>
      <c r="F386" s="47">
        <v>-3.79</v>
      </c>
      <c r="G386" s="44">
        <v>46167</v>
      </c>
      <c r="H386" s="45" t="e">
        <f t="shared" si="1"/>
        <v>#N/A</v>
      </c>
      <c r="I386" s="46">
        <v>45936.649328703701</v>
      </c>
    </row>
    <row r="387" spans="1:10">
      <c r="A387" s="40" t="s">
        <v>546</v>
      </c>
      <c r="B387" s="40" t="s">
        <v>547</v>
      </c>
      <c r="C387" s="41">
        <v>45787</v>
      </c>
      <c r="D387" s="42" t="s">
        <v>410</v>
      </c>
      <c r="E387" s="42" t="s">
        <v>411</v>
      </c>
      <c r="F387" s="47">
        <v>-0.56000000000000005</v>
      </c>
      <c r="G387" s="44">
        <v>46137</v>
      </c>
      <c r="H387" s="45" t="e">
        <f t="shared" si="1"/>
        <v>#N/A</v>
      </c>
      <c r="I387" s="46">
        <v>45936.649328703701</v>
      </c>
    </row>
    <row r="388" spans="1:10">
      <c r="A388" s="40" t="s">
        <v>546</v>
      </c>
      <c r="B388" s="40" t="s">
        <v>547</v>
      </c>
      <c r="C388" s="41">
        <v>45757</v>
      </c>
      <c r="D388" s="42" t="s">
        <v>410</v>
      </c>
      <c r="E388" s="42" t="s">
        <v>411</v>
      </c>
      <c r="F388" s="47">
        <v>-1.82</v>
      </c>
      <c r="G388" s="44">
        <v>46106</v>
      </c>
      <c r="H388" s="45" t="e">
        <f t="shared" si="1"/>
        <v>#N/A</v>
      </c>
      <c r="I388" s="46">
        <v>45936.649328703701</v>
      </c>
    </row>
    <row r="389" spans="1:10">
      <c r="A389" s="40" t="s">
        <v>546</v>
      </c>
      <c r="B389" s="40" t="s">
        <v>547</v>
      </c>
      <c r="C389" s="41">
        <v>45726</v>
      </c>
      <c r="D389" s="42" t="s">
        <v>410</v>
      </c>
      <c r="E389" s="42" t="s">
        <v>411</v>
      </c>
      <c r="F389" s="47">
        <v>-4.0599999999999996</v>
      </c>
      <c r="G389" s="44">
        <v>46078</v>
      </c>
      <c r="H389" s="45" t="e">
        <f t="shared" si="1"/>
        <v>#N/A</v>
      </c>
      <c r="I389" s="46">
        <v>45936.649328703701</v>
      </c>
    </row>
    <row r="390" spans="1:10">
      <c r="A390" s="40" t="s">
        <v>546</v>
      </c>
      <c r="B390" s="40" t="s">
        <v>547</v>
      </c>
      <c r="C390" s="41">
        <v>45698</v>
      </c>
      <c r="D390" s="42" t="s">
        <v>410</v>
      </c>
      <c r="E390" s="42" t="s">
        <v>411</v>
      </c>
      <c r="F390" s="47">
        <v>1</v>
      </c>
      <c r="G390" s="44">
        <v>46047</v>
      </c>
      <c r="H390" s="45" t="e">
        <f t="shared" si="1"/>
        <v>#N/A</v>
      </c>
      <c r="I390" s="46">
        <v>45936.649328703701</v>
      </c>
    </row>
    <row r="391" spans="1:10">
      <c r="A391" s="40" t="s">
        <v>550</v>
      </c>
      <c r="B391" s="40" t="s">
        <v>551</v>
      </c>
      <c r="C391" s="41">
        <v>46122</v>
      </c>
      <c r="D391" s="42" t="s">
        <v>410</v>
      </c>
      <c r="E391" s="42" t="s">
        <v>411</v>
      </c>
      <c r="F391" s="43"/>
      <c r="G391" s="44">
        <v>46107</v>
      </c>
      <c r="H391" s="45" t="e">
        <f t="shared" si="1"/>
        <v>#N/A</v>
      </c>
      <c r="I391" s="46"/>
    </row>
    <row r="392" spans="1:10">
      <c r="A392" s="40" t="s">
        <v>550</v>
      </c>
      <c r="B392" s="40" t="s">
        <v>551</v>
      </c>
      <c r="C392" s="41">
        <v>46091</v>
      </c>
      <c r="D392" s="42" t="s">
        <v>410</v>
      </c>
      <c r="E392" s="42" t="s">
        <v>411</v>
      </c>
      <c r="F392" s="43"/>
      <c r="G392" s="44">
        <v>46079</v>
      </c>
      <c r="H392" s="45" t="e">
        <f t="shared" si="1"/>
        <v>#N/A</v>
      </c>
      <c r="I392" s="43"/>
    </row>
    <row r="393" spans="1:10">
      <c r="A393" s="40" t="s">
        <v>550</v>
      </c>
      <c r="B393" s="40" t="s">
        <v>551</v>
      </c>
      <c r="C393" s="41">
        <v>46063</v>
      </c>
      <c r="D393" s="42" t="s">
        <v>410</v>
      </c>
      <c r="E393" s="42" t="s">
        <v>411</v>
      </c>
      <c r="F393" s="47">
        <v>7</v>
      </c>
      <c r="G393" s="44">
        <v>46048</v>
      </c>
      <c r="H393" s="45" t="e">
        <f t="shared" si="1"/>
        <v>#N/A</v>
      </c>
      <c r="I393" s="46">
        <v>46064.672048611108</v>
      </c>
      <c r="J393" s="40" t="s">
        <v>552</v>
      </c>
    </row>
    <row r="394" spans="1:10">
      <c r="A394" s="40" t="s">
        <v>550</v>
      </c>
      <c r="B394" s="40" t="s">
        <v>551</v>
      </c>
      <c r="C394" s="41">
        <v>46032</v>
      </c>
      <c r="D394" s="42" t="s">
        <v>410</v>
      </c>
      <c r="E394" s="42" t="s">
        <v>411</v>
      </c>
      <c r="F394" s="47">
        <v>6</v>
      </c>
      <c r="G394" s="44">
        <v>46381</v>
      </c>
      <c r="H394" s="45" t="e">
        <f t="shared" si="1"/>
        <v>#N/A</v>
      </c>
      <c r="I394" s="46">
        <v>46035.56417824074</v>
      </c>
      <c r="J394" s="40" t="s">
        <v>553</v>
      </c>
    </row>
    <row r="395" spans="1:10">
      <c r="A395" s="40" t="s">
        <v>550</v>
      </c>
      <c r="B395" s="40" t="s">
        <v>551</v>
      </c>
      <c r="C395" s="41">
        <v>46001</v>
      </c>
      <c r="D395" s="42" t="s">
        <v>410</v>
      </c>
      <c r="E395" s="42" t="s">
        <v>411</v>
      </c>
      <c r="F395" s="47">
        <v>6</v>
      </c>
      <c r="G395" s="44">
        <v>46351</v>
      </c>
      <c r="H395" s="45" t="e">
        <f t="shared" si="1"/>
        <v>#N/A</v>
      </c>
      <c r="I395" s="46">
        <v>46021.734409722223</v>
      </c>
      <c r="J395" s="40" t="s">
        <v>554</v>
      </c>
    </row>
    <row r="396" spans="1:10">
      <c r="A396" s="40" t="s">
        <v>550</v>
      </c>
      <c r="B396" s="40" t="s">
        <v>551</v>
      </c>
      <c r="C396" s="41">
        <v>45971</v>
      </c>
      <c r="D396" s="42" t="s">
        <v>410</v>
      </c>
      <c r="E396" s="42" t="s">
        <v>411</v>
      </c>
      <c r="F396" s="47">
        <v>6</v>
      </c>
      <c r="G396" s="44">
        <v>46320</v>
      </c>
      <c r="H396" s="45" t="e">
        <f t="shared" si="1"/>
        <v>#N/A</v>
      </c>
      <c r="I396" s="46">
        <v>45978.674699074072</v>
      </c>
      <c r="J396" s="40" t="s">
        <v>555</v>
      </c>
    </row>
    <row r="397" spans="1:10">
      <c r="A397" s="40" t="s">
        <v>550</v>
      </c>
      <c r="B397" s="40" t="s">
        <v>551</v>
      </c>
      <c r="C397" s="41">
        <v>45940</v>
      </c>
      <c r="D397" s="42" t="s">
        <v>410</v>
      </c>
      <c r="E397" s="42" t="s">
        <v>411</v>
      </c>
      <c r="F397" s="47">
        <v>5</v>
      </c>
      <c r="G397" s="44">
        <v>46290</v>
      </c>
      <c r="H397" s="45" t="e">
        <f t="shared" si="1"/>
        <v>#N/A</v>
      </c>
      <c r="I397" s="46">
        <v>45943.450219907405</v>
      </c>
      <c r="J397" s="40" t="s">
        <v>556</v>
      </c>
    </row>
    <row r="398" spans="1:10">
      <c r="A398" s="40" t="s">
        <v>550</v>
      </c>
      <c r="B398" s="40" t="s">
        <v>551</v>
      </c>
      <c r="C398" s="41">
        <v>45910</v>
      </c>
      <c r="D398" s="42" t="s">
        <v>410</v>
      </c>
      <c r="E398" s="42" t="s">
        <v>411</v>
      </c>
      <c r="F398" s="47">
        <v>5</v>
      </c>
      <c r="G398" s="44">
        <v>46259</v>
      </c>
      <c r="H398" s="45" t="e">
        <f t="shared" si="1"/>
        <v>#N/A</v>
      </c>
      <c r="I398" s="46">
        <v>45938.709328703706</v>
      </c>
    </row>
    <row r="399" spans="1:10">
      <c r="A399" s="40" t="s">
        <v>550</v>
      </c>
      <c r="B399" s="40" t="s">
        <v>551</v>
      </c>
      <c r="C399" s="41">
        <v>45879</v>
      </c>
      <c r="D399" s="42" t="s">
        <v>410</v>
      </c>
      <c r="E399" s="42" t="s">
        <v>411</v>
      </c>
      <c r="F399" s="47">
        <v>6</v>
      </c>
      <c r="G399" s="44">
        <v>46228</v>
      </c>
      <c r="H399" s="45" t="e">
        <f t="shared" si="1"/>
        <v>#N/A</v>
      </c>
      <c r="I399" s="46">
        <v>45938.709328703706</v>
      </c>
    </row>
    <row r="400" spans="1:10">
      <c r="A400" s="40" t="s">
        <v>550</v>
      </c>
      <c r="B400" s="40" t="s">
        <v>551</v>
      </c>
      <c r="C400" s="41">
        <v>45848</v>
      </c>
      <c r="D400" s="42" t="s">
        <v>410</v>
      </c>
      <c r="E400" s="42" t="s">
        <v>411</v>
      </c>
      <c r="F400" s="47">
        <v>6</v>
      </c>
      <c r="G400" s="44">
        <v>46198</v>
      </c>
      <c r="H400" s="45" t="e">
        <f t="shared" si="1"/>
        <v>#N/A</v>
      </c>
      <c r="I400" s="46">
        <v>45938.709328703706</v>
      </c>
    </row>
    <row r="401" spans="1:10">
      <c r="A401" s="40" t="s">
        <v>550</v>
      </c>
      <c r="B401" s="40" t="s">
        <v>551</v>
      </c>
      <c r="C401" s="41">
        <v>45818</v>
      </c>
      <c r="D401" s="42" t="s">
        <v>410</v>
      </c>
      <c r="E401" s="42" t="s">
        <v>411</v>
      </c>
      <c r="F401" s="47">
        <v>6</v>
      </c>
      <c r="G401" s="44">
        <v>46167</v>
      </c>
      <c r="H401" s="45" t="e">
        <f t="shared" si="1"/>
        <v>#N/A</v>
      </c>
      <c r="I401" s="46">
        <v>45938.709328703706</v>
      </c>
    </row>
    <row r="402" spans="1:10">
      <c r="A402" s="40" t="s">
        <v>550</v>
      </c>
      <c r="B402" s="40" t="s">
        <v>551</v>
      </c>
      <c r="C402" s="41">
        <v>45787</v>
      </c>
      <c r="D402" s="42" t="s">
        <v>410</v>
      </c>
      <c r="E402" s="42" t="s">
        <v>411</v>
      </c>
      <c r="F402" s="47">
        <v>6</v>
      </c>
      <c r="G402" s="44">
        <v>46137</v>
      </c>
      <c r="H402" s="45" t="e">
        <f t="shared" si="1"/>
        <v>#N/A</v>
      </c>
      <c r="I402" s="46">
        <v>45938.709328703706</v>
      </c>
    </row>
    <row r="403" spans="1:10">
      <c r="A403" s="40" t="s">
        <v>550</v>
      </c>
      <c r="B403" s="40" t="s">
        <v>551</v>
      </c>
      <c r="C403" s="41">
        <v>45757</v>
      </c>
      <c r="D403" s="42" t="s">
        <v>410</v>
      </c>
      <c r="E403" s="42" t="s">
        <v>411</v>
      </c>
      <c r="F403" s="47">
        <v>7</v>
      </c>
      <c r="G403" s="44">
        <v>46106</v>
      </c>
      <c r="H403" s="45" t="e">
        <f t="shared" si="1"/>
        <v>#N/A</v>
      </c>
      <c r="I403" s="46">
        <v>45938.709328703706</v>
      </c>
    </row>
    <row r="404" spans="1:10">
      <c r="A404" s="40" t="s">
        <v>550</v>
      </c>
      <c r="B404" s="40" t="s">
        <v>551</v>
      </c>
      <c r="C404" s="41">
        <v>45726</v>
      </c>
      <c r="D404" s="42" t="s">
        <v>410</v>
      </c>
      <c r="E404" s="42" t="s">
        <v>411</v>
      </c>
      <c r="F404" s="47">
        <v>6</v>
      </c>
      <c r="G404" s="44">
        <v>46078</v>
      </c>
      <c r="H404" s="45" t="e">
        <f t="shared" si="1"/>
        <v>#N/A</v>
      </c>
      <c r="I404" s="46">
        <v>45938.709328703706</v>
      </c>
    </row>
    <row r="405" spans="1:10">
      <c r="A405" s="40" t="s">
        <v>550</v>
      </c>
      <c r="B405" s="40" t="s">
        <v>551</v>
      </c>
      <c r="C405" s="41">
        <v>45698</v>
      </c>
      <c r="D405" s="42" t="s">
        <v>410</v>
      </c>
      <c r="E405" s="42" t="s">
        <v>411</v>
      </c>
      <c r="F405" s="47">
        <v>6</v>
      </c>
      <c r="G405" s="44">
        <v>46047</v>
      </c>
      <c r="H405" s="45" t="e">
        <f t="shared" si="1"/>
        <v>#N/A</v>
      </c>
      <c r="I405" s="46">
        <v>45938.709328703706</v>
      </c>
    </row>
    <row r="406" spans="1:10">
      <c r="A406" s="40" t="s">
        <v>557</v>
      </c>
      <c r="B406" s="40" t="s">
        <v>558</v>
      </c>
      <c r="C406" s="41">
        <v>46122</v>
      </c>
      <c r="D406" s="42" t="s">
        <v>559</v>
      </c>
      <c r="E406" s="42" t="s">
        <v>411</v>
      </c>
      <c r="F406" s="43"/>
      <c r="G406" s="44">
        <v>46107</v>
      </c>
      <c r="H406" s="45" t="e">
        <f t="shared" si="1"/>
        <v>#N/A</v>
      </c>
      <c r="I406" s="46"/>
    </row>
    <row r="407" spans="1:10">
      <c r="A407" s="40" t="s">
        <v>557</v>
      </c>
      <c r="B407" s="40" t="s">
        <v>558</v>
      </c>
      <c r="C407" s="41">
        <v>46091</v>
      </c>
      <c r="D407" s="42" t="s">
        <v>559</v>
      </c>
      <c r="E407" s="42" t="s">
        <v>411</v>
      </c>
      <c r="F407" s="43"/>
      <c r="G407" s="44">
        <v>46079</v>
      </c>
      <c r="H407" s="45" t="e">
        <f t="shared" si="1"/>
        <v>#N/A</v>
      </c>
      <c r="I407" s="43"/>
    </row>
    <row r="408" spans="1:10">
      <c r="A408" s="40" t="s">
        <v>557</v>
      </c>
      <c r="B408" s="40" t="s">
        <v>558</v>
      </c>
      <c r="C408" s="41">
        <v>46063</v>
      </c>
      <c r="D408" s="42" t="s">
        <v>559</v>
      </c>
      <c r="E408" s="42" t="s">
        <v>411</v>
      </c>
      <c r="F408" s="47">
        <v>7</v>
      </c>
      <c r="G408" s="44">
        <v>46048</v>
      </c>
      <c r="H408" s="45" t="e">
        <f t="shared" si="1"/>
        <v>#N/A</v>
      </c>
      <c r="I408" s="46">
        <v>46073.426516203705</v>
      </c>
      <c r="J408" s="40" t="s">
        <v>560</v>
      </c>
    </row>
    <row r="409" spans="1:10">
      <c r="A409" s="40" t="s">
        <v>561</v>
      </c>
      <c r="B409" s="40" t="s">
        <v>562</v>
      </c>
      <c r="C409" s="41">
        <v>46122</v>
      </c>
      <c r="D409" s="42" t="s">
        <v>410</v>
      </c>
      <c r="E409" s="42" t="s">
        <v>411</v>
      </c>
      <c r="F409" s="43"/>
      <c r="G409" s="44">
        <v>46107</v>
      </c>
      <c r="H409" s="45" t="e">
        <f t="shared" si="1"/>
        <v>#N/A</v>
      </c>
      <c r="I409" s="46"/>
    </row>
    <row r="410" spans="1:10">
      <c r="A410" s="40" t="s">
        <v>561</v>
      </c>
      <c r="B410" s="40" t="s">
        <v>562</v>
      </c>
      <c r="C410" s="41">
        <v>46091</v>
      </c>
      <c r="D410" s="42" t="s">
        <v>410</v>
      </c>
      <c r="E410" s="42" t="s">
        <v>411</v>
      </c>
      <c r="F410" s="43"/>
      <c r="G410" s="44">
        <v>46079</v>
      </c>
      <c r="H410" s="45" t="e">
        <f t="shared" si="1"/>
        <v>#N/A</v>
      </c>
      <c r="I410" s="43"/>
    </row>
    <row r="411" spans="1:10">
      <c r="A411" s="40" t="s">
        <v>561</v>
      </c>
      <c r="B411" s="40" t="s">
        <v>562</v>
      </c>
      <c r="C411" s="41">
        <v>46063</v>
      </c>
      <c r="D411" s="42" t="s">
        <v>410</v>
      </c>
      <c r="E411" s="42" t="s">
        <v>411</v>
      </c>
      <c r="F411" s="47">
        <v>7141155.6399999997</v>
      </c>
      <c r="G411" s="44">
        <v>46048</v>
      </c>
      <c r="H411" s="45" t="e">
        <f t="shared" si="1"/>
        <v>#N/A</v>
      </c>
      <c r="I411" s="46">
        <v>46070.638113425928</v>
      </c>
    </row>
    <row r="412" spans="1:10">
      <c r="A412" s="40" t="s">
        <v>561</v>
      </c>
      <c r="B412" s="40" t="s">
        <v>562</v>
      </c>
      <c r="C412" s="41">
        <v>46032</v>
      </c>
      <c r="D412" s="42" t="s">
        <v>410</v>
      </c>
      <c r="E412" s="42" t="s">
        <v>411</v>
      </c>
      <c r="F412" s="47">
        <v>7186736.1299999999</v>
      </c>
      <c r="G412" s="44">
        <v>46381</v>
      </c>
      <c r="H412" s="45" t="e">
        <f t="shared" si="1"/>
        <v>#N/A</v>
      </c>
      <c r="I412" s="46">
        <v>46037.592916666668</v>
      </c>
    </row>
    <row r="413" spans="1:10">
      <c r="A413" s="40" t="s">
        <v>561</v>
      </c>
      <c r="B413" s="40" t="s">
        <v>562</v>
      </c>
      <c r="C413" s="41">
        <v>46001</v>
      </c>
      <c r="D413" s="42" t="s">
        <v>410</v>
      </c>
      <c r="E413" s="42" t="s">
        <v>411</v>
      </c>
      <c r="F413" s="47">
        <v>6133722.8700000001</v>
      </c>
      <c r="G413" s="44">
        <v>46351</v>
      </c>
      <c r="H413" s="45" t="e">
        <f t="shared" si="1"/>
        <v>#N/A</v>
      </c>
      <c r="I413" s="46">
        <v>46009.606539351851</v>
      </c>
    </row>
    <row r="414" spans="1:10">
      <c r="A414" s="40" t="s">
        <v>561</v>
      </c>
      <c r="B414" s="40" t="s">
        <v>562</v>
      </c>
      <c r="C414" s="41">
        <v>45971</v>
      </c>
      <c r="D414" s="42" t="s">
        <v>410</v>
      </c>
      <c r="E414" s="42" t="s">
        <v>411</v>
      </c>
      <c r="F414" s="47">
        <v>5672601.6500000004</v>
      </c>
      <c r="G414" s="44">
        <v>46320</v>
      </c>
      <c r="H414" s="45" t="e">
        <f t="shared" si="1"/>
        <v>#N/A</v>
      </c>
      <c r="I414" s="46">
        <v>45999.538773148146</v>
      </c>
    </row>
    <row r="415" spans="1:10">
      <c r="A415" s="40" t="s">
        <v>561</v>
      </c>
      <c r="B415" s="40" t="s">
        <v>562</v>
      </c>
      <c r="C415" s="41">
        <v>45940</v>
      </c>
      <c r="D415" s="42" t="s">
        <v>410</v>
      </c>
      <c r="E415" s="42" t="s">
        <v>411</v>
      </c>
      <c r="F415" s="47">
        <v>5797273.25</v>
      </c>
      <c r="G415" s="44">
        <v>46290</v>
      </c>
      <c r="H415" s="45" t="e">
        <f t="shared" si="1"/>
        <v>#N/A</v>
      </c>
      <c r="I415" s="46">
        <v>45943.3281712963</v>
      </c>
    </row>
    <row r="416" spans="1:10">
      <c r="A416" s="40" t="s">
        <v>561</v>
      </c>
      <c r="B416" s="40" t="s">
        <v>562</v>
      </c>
      <c r="C416" s="41">
        <v>45910</v>
      </c>
      <c r="D416" s="42" t="s">
        <v>410</v>
      </c>
      <c r="E416" s="42" t="s">
        <v>411</v>
      </c>
      <c r="F416" s="47">
        <v>5600602.9100000001</v>
      </c>
      <c r="G416" s="44">
        <v>46259</v>
      </c>
      <c r="H416" s="45" t="e">
        <f t="shared" si="1"/>
        <v>#N/A</v>
      </c>
      <c r="I416" s="46">
        <v>46049.235914351855</v>
      </c>
    </row>
    <row r="417" spans="1:10">
      <c r="A417" s="40" t="s">
        <v>561</v>
      </c>
      <c r="B417" s="40" t="s">
        <v>562</v>
      </c>
      <c r="C417" s="41">
        <v>45879</v>
      </c>
      <c r="D417" s="42" t="s">
        <v>410</v>
      </c>
      <c r="E417" s="42" t="s">
        <v>411</v>
      </c>
      <c r="F417" s="47">
        <v>6093380.9900000002</v>
      </c>
      <c r="G417" s="44">
        <v>46228</v>
      </c>
      <c r="H417" s="45" t="e">
        <f t="shared" si="1"/>
        <v>#N/A</v>
      </c>
      <c r="I417" s="46">
        <v>46049.235729166663</v>
      </c>
    </row>
    <row r="418" spans="1:10">
      <c r="A418" s="40" t="s">
        <v>561</v>
      </c>
      <c r="B418" s="40" t="s">
        <v>562</v>
      </c>
      <c r="C418" s="41">
        <v>45848</v>
      </c>
      <c r="D418" s="42" t="s">
        <v>410</v>
      </c>
      <c r="E418" s="42" t="s">
        <v>411</v>
      </c>
      <c r="F418" s="47">
        <v>5622460.0300000003</v>
      </c>
      <c r="G418" s="44">
        <v>46198</v>
      </c>
      <c r="H418" s="45" t="e">
        <f t="shared" si="1"/>
        <v>#N/A</v>
      </c>
      <c r="I418" s="46">
        <v>46049.235474537039</v>
      </c>
    </row>
    <row r="419" spans="1:10">
      <c r="A419" s="40" t="s">
        <v>561</v>
      </c>
      <c r="B419" s="40" t="s">
        <v>562</v>
      </c>
      <c r="C419" s="41">
        <v>45818</v>
      </c>
      <c r="D419" s="42" t="s">
        <v>410</v>
      </c>
      <c r="E419" s="42" t="s">
        <v>411</v>
      </c>
      <c r="F419" s="47">
        <v>6104426.2199999997</v>
      </c>
      <c r="G419" s="44">
        <v>46167</v>
      </c>
      <c r="H419" s="45" t="e">
        <f t="shared" si="1"/>
        <v>#N/A</v>
      </c>
      <c r="I419" s="46">
        <v>46049.235266203701</v>
      </c>
    </row>
    <row r="420" spans="1:10">
      <c r="A420" s="40" t="s">
        <v>561</v>
      </c>
      <c r="B420" s="40" t="s">
        <v>562</v>
      </c>
      <c r="C420" s="41">
        <v>45787</v>
      </c>
      <c r="D420" s="42" t="s">
        <v>410</v>
      </c>
      <c r="E420" s="42" t="s">
        <v>411</v>
      </c>
      <c r="F420" s="47">
        <v>5744385.5300000003</v>
      </c>
      <c r="G420" s="44">
        <v>46137</v>
      </c>
      <c r="H420" s="45" t="e">
        <f t="shared" si="1"/>
        <v>#N/A</v>
      </c>
      <c r="I420" s="46">
        <v>46049.235046296293</v>
      </c>
    </row>
    <row r="421" spans="1:10">
      <c r="A421" s="40" t="s">
        <v>561</v>
      </c>
      <c r="B421" s="40" t="s">
        <v>562</v>
      </c>
      <c r="C421" s="41">
        <v>45757</v>
      </c>
      <c r="D421" s="42" t="s">
        <v>410</v>
      </c>
      <c r="E421" s="42" t="s">
        <v>411</v>
      </c>
      <c r="F421" s="47">
        <v>6108832.5800000001</v>
      </c>
      <c r="G421" s="44">
        <v>46106</v>
      </c>
      <c r="H421" s="45" t="e">
        <f t="shared" si="1"/>
        <v>#N/A</v>
      </c>
      <c r="I421" s="46">
        <v>46049.234756944446</v>
      </c>
    </row>
    <row r="422" spans="1:10">
      <c r="A422" s="40" t="s">
        <v>561</v>
      </c>
      <c r="B422" s="40" t="s">
        <v>562</v>
      </c>
      <c r="C422" s="41">
        <v>45726</v>
      </c>
      <c r="D422" s="42" t="s">
        <v>410</v>
      </c>
      <c r="E422" s="42" t="s">
        <v>411</v>
      </c>
      <c r="F422" s="47">
        <v>5690854.9100000001</v>
      </c>
      <c r="G422" s="44">
        <v>46078</v>
      </c>
      <c r="H422" s="45" t="e">
        <f t="shared" si="1"/>
        <v>#N/A</v>
      </c>
      <c r="I422" s="46">
        <v>46049.234409722223</v>
      </c>
    </row>
    <row r="423" spans="1:10">
      <c r="A423" s="40" t="s">
        <v>561</v>
      </c>
      <c r="B423" s="40" t="s">
        <v>562</v>
      </c>
      <c r="C423" s="41">
        <v>45698</v>
      </c>
      <c r="D423" s="42" t="s">
        <v>410</v>
      </c>
      <c r="E423" s="42" t="s">
        <v>411</v>
      </c>
      <c r="F423" s="47">
        <v>6805734.96</v>
      </c>
      <c r="G423" s="44">
        <v>46047</v>
      </c>
      <c r="H423" s="45" t="e">
        <f t="shared" si="1"/>
        <v>#N/A</v>
      </c>
      <c r="I423" s="46">
        <v>46049.233773148146</v>
      </c>
    </row>
    <row r="424" spans="1:10">
      <c r="A424" s="40" t="s">
        <v>563</v>
      </c>
      <c r="B424" s="40" t="s">
        <v>564</v>
      </c>
      <c r="C424" s="41">
        <v>46122</v>
      </c>
      <c r="D424" s="42" t="s">
        <v>410</v>
      </c>
      <c r="E424" s="42" t="s">
        <v>411</v>
      </c>
      <c r="F424" s="43"/>
      <c r="G424" s="44">
        <v>46107</v>
      </c>
      <c r="H424" s="45" t="e">
        <f t="shared" si="1"/>
        <v>#N/A</v>
      </c>
      <c r="I424" s="46"/>
    </row>
    <row r="425" spans="1:10">
      <c r="A425" s="40" t="s">
        <v>563</v>
      </c>
      <c r="B425" s="40" t="s">
        <v>564</v>
      </c>
      <c r="C425" s="41">
        <v>46091</v>
      </c>
      <c r="D425" s="42" t="s">
        <v>410</v>
      </c>
      <c r="E425" s="42" t="s">
        <v>411</v>
      </c>
      <c r="F425" s="43"/>
      <c r="G425" s="44">
        <v>46079</v>
      </c>
      <c r="H425" s="45" t="e">
        <f t="shared" si="1"/>
        <v>#N/A</v>
      </c>
      <c r="I425" s="43"/>
    </row>
    <row r="426" spans="1:10">
      <c r="A426" s="40" t="s">
        <v>563</v>
      </c>
      <c r="B426" s="40" t="s">
        <v>564</v>
      </c>
      <c r="C426" s="41">
        <v>46063</v>
      </c>
      <c r="D426" s="42" t="s">
        <v>410</v>
      </c>
      <c r="E426" s="42" t="s">
        <v>411</v>
      </c>
      <c r="F426" s="47">
        <v>1027674.21</v>
      </c>
      <c r="G426" s="44">
        <v>46048</v>
      </c>
      <c r="H426" s="45" t="e">
        <f t="shared" si="1"/>
        <v>#N/A</v>
      </c>
      <c r="I426" s="46">
        <v>46064.351018518515</v>
      </c>
      <c r="J426" s="40" t="s">
        <v>565</v>
      </c>
    </row>
    <row r="427" spans="1:10">
      <c r="A427" s="40" t="s">
        <v>563</v>
      </c>
      <c r="B427" s="40" t="s">
        <v>564</v>
      </c>
      <c r="C427" s="41">
        <v>46032</v>
      </c>
      <c r="D427" s="42" t="s">
        <v>410</v>
      </c>
      <c r="E427" s="42" t="s">
        <v>411</v>
      </c>
      <c r="F427" s="47">
        <v>983202.34</v>
      </c>
      <c r="G427" s="44">
        <v>46381</v>
      </c>
      <c r="H427" s="45" t="e">
        <f t="shared" si="1"/>
        <v>#N/A</v>
      </c>
      <c r="I427" s="46">
        <v>46048.735208333332</v>
      </c>
      <c r="J427" s="40" t="s">
        <v>566</v>
      </c>
    </row>
    <row r="428" spans="1:10">
      <c r="A428" s="40" t="s">
        <v>563</v>
      </c>
      <c r="B428" s="40" t="s">
        <v>564</v>
      </c>
      <c r="C428" s="41">
        <v>46001</v>
      </c>
      <c r="D428" s="42" t="s">
        <v>410</v>
      </c>
      <c r="E428" s="42" t="s">
        <v>411</v>
      </c>
      <c r="F428" s="47">
        <v>715087.35999999999</v>
      </c>
      <c r="G428" s="44">
        <v>46351</v>
      </c>
      <c r="H428" s="45" t="e">
        <f t="shared" si="1"/>
        <v>#N/A</v>
      </c>
      <c r="I428" s="46">
        <v>46007.462048611109</v>
      </c>
      <c r="J428" s="40" t="s">
        <v>567</v>
      </c>
    </row>
    <row r="429" spans="1:10">
      <c r="A429" s="40" t="s">
        <v>563</v>
      </c>
      <c r="B429" s="40" t="s">
        <v>564</v>
      </c>
      <c r="C429" s="41">
        <v>45971</v>
      </c>
      <c r="D429" s="42" t="s">
        <v>410</v>
      </c>
      <c r="E429" s="42" t="s">
        <v>411</v>
      </c>
      <c r="F429" s="47">
        <v>965696.91</v>
      </c>
      <c r="G429" s="44">
        <v>46320</v>
      </c>
      <c r="H429" s="45" t="e">
        <f t="shared" si="1"/>
        <v>#N/A</v>
      </c>
      <c r="I429" s="46">
        <v>45975.362870370373</v>
      </c>
      <c r="J429" s="40" t="s">
        <v>568</v>
      </c>
    </row>
    <row r="430" spans="1:10">
      <c r="A430" s="40" t="s">
        <v>563</v>
      </c>
      <c r="B430" s="40" t="s">
        <v>564</v>
      </c>
      <c r="C430" s="41">
        <v>45940</v>
      </c>
      <c r="D430" s="42" t="s">
        <v>410</v>
      </c>
      <c r="E430" s="42" t="s">
        <v>411</v>
      </c>
      <c r="F430" s="47">
        <v>948199</v>
      </c>
      <c r="G430" s="44">
        <v>46290</v>
      </c>
      <c r="H430" s="45" t="e">
        <f t="shared" si="1"/>
        <v>#N/A</v>
      </c>
      <c r="I430" s="46">
        <v>45946.561655092592</v>
      </c>
      <c r="J430" s="40" t="s">
        <v>569</v>
      </c>
    </row>
    <row r="431" spans="1:10">
      <c r="A431" s="40" t="s">
        <v>563</v>
      </c>
      <c r="B431" s="40" t="s">
        <v>564</v>
      </c>
      <c r="C431" s="41">
        <v>45910</v>
      </c>
      <c r="D431" s="42" t="s">
        <v>410</v>
      </c>
      <c r="E431" s="42" t="s">
        <v>411</v>
      </c>
      <c r="F431" s="47">
        <v>900456.59</v>
      </c>
      <c r="G431" s="44">
        <v>46259</v>
      </c>
      <c r="H431" s="45" t="e">
        <f t="shared" si="1"/>
        <v>#N/A</v>
      </c>
      <c r="I431" s="46">
        <v>45946.561331018522</v>
      </c>
      <c r="J431" s="40" t="s">
        <v>570</v>
      </c>
    </row>
    <row r="432" spans="1:10">
      <c r="A432" s="40" t="s">
        <v>563</v>
      </c>
      <c r="B432" s="40" t="s">
        <v>564</v>
      </c>
      <c r="C432" s="41">
        <v>45879</v>
      </c>
      <c r="D432" s="42" t="s">
        <v>410</v>
      </c>
      <c r="E432" s="42" t="s">
        <v>411</v>
      </c>
      <c r="F432" s="47">
        <v>964276.01</v>
      </c>
      <c r="G432" s="44">
        <v>46228</v>
      </c>
      <c r="H432" s="45" t="e">
        <f t="shared" si="1"/>
        <v>#N/A</v>
      </c>
      <c r="I432" s="46">
        <v>45936.652361111112</v>
      </c>
    </row>
    <row r="433" spans="1:10">
      <c r="A433" s="40" t="s">
        <v>563</v>
      </c>
      <c r="B433" s="40" t="s">
        <v>564</v>
      </c>
      <c r="C433" s="41">
        <v>45848</v>
      </c>
      <c r="D433" s="42" t="s">
        <v>410</v>
      </c>
      <c r="E433" s="42" t="s">
        <v>411</v>
      </c>
      <c r="F433" s="47">
        <v>875810.54</v>
      </c>
      <c r="G433" s="44">
        <v>46198</v>
      </c>
      <c r="H433" s="45" t="e">
        <f t="shared" si="1"/>
        <v>#N/A</v>
      </c>
      <c r="I433" s="46">
        <v>45936.652361111112</v>
      </c>
    </row>
    <row r="434" spans="1:10">
      <c r="A434" s="40" t="s">
        <v>563</v>
      </c>
      <c r="B434" s="40" t="s">
        <v>564</v>
      </c>
      <c r="C434" s="41">
        <v>45818</v>
      </c>
      <c r="D434" s="42" t="s">
        <v>410</v>
      </c>
      <c r="E434" s="42" t="s">
        <v>411</v>
      </c>
      <c r="F434" s="47">
        <v>933754.37</v>
      </c>
      <c r="G434" s="44">
        <v>46167</v>
      </c>
      <c r="H434" s="45" t="e">
        <f t="shared" si="1"/>
        <v>#N/A</v>
      </c>
      <c r="I434" s="46">
        <v>45936.652361111112</v>
      </c>
    </row>
    <row r="435" spans="1:10">
      <c r="A435" s="40" t="s">
        <v>563</v>
      </c>
      <c r="B435" s="40" t="s">
        <v>564</v>
      </c>
      <c r="C435" s="41">
        <v>45787</v>
      </c>
      <c r="D435" s="42" t="s">
        <v>410</v>
      </c>
      <c r="E435" s="42" t="s">
        <v>411</v>
      </c>
      <c r="F435" s="47">
        <v>896063.93</v>
      </c>
      <c r="G435" s="44">
        <v>46137</v>
      </c>
      <c r="H435" s="45" t="e">
        <f t="shared" si="1"/>
        <v>#N/A</v>
      </c>
      <c r="I435" s="46">
        <v>45936.652361111112</v>
      </c>
    </row>
    <row r="436" spans="1:10">
      <c r="A436" s="40" t="s">
        <v>563</v>
      </c>
      <c r="B436" s="40" t="s">
        <v>564</v>
      </c>
      <c r="C436" s="41">
        <v>45757</v>
      </c>
      <c r="D436" s="42" t="s">
        <v>410</v>
      </c>
      <c r="E436" s="42" t="s">
        <v>411</v>
      </c>
      <c r="F436" s="47">
        <v>878232.57</v>
      </c>
      <c r="G436" s="44">
        <v>46106</v>
      </c>
      <c r="H436" s="45" t="e">
        <f t="shared" si="1"/>
        <v>#N/A</v>
      </c>
      <c r="I436" s="46">
        <v>45936.652361111112</v>
      </c>
    </row>
    <row r="437" spans="1:10">
      <c r="A437" s="40" t="s">
        <v>563</v>
      </c>
      <c r="B437" s="40" t="s">
        <v>564</v>
      </c>
      <c r="C437" s="41">
        <v>45726</v>
      </c>
      <c r="D437" s="42" t="s">
        <v>410</v>
      </c>
      <c r="E437" s="42" t="s">
        <v>411</v>
      </c>
      <c r="F437" s="47">
        <v>864203.27</v>
      </c>
      <c r="G437" s="44">
        <v>46078</v>
      </c>
      <c r="H437" s="45" t="e">
        <f t="shared" si="1"/>
        <v>#N/A</v>
      </c>
      <c r="I437" s="46">
        <v>45936.652361111112</v>
      </c>
    </row>
    <row r="438" spans="1:10">
      <c r="A438" s="40" t="s">
        <v>563</v>
      </c>
      <c r="B438" s="40" t="s">
        <v>564</v>
      </c>
      <c r="C438" s="41">
        <v>45698</v>
      </c>
      <c r="D438" s="42" t="s">
        <v>410</v>
      </c>
      <c r="E438" s="42" t="s">
        <v>411</v>
      </c>
      <c r="F438" s="47">
        <v>1059307.81</v>
      </c>
      <c r="G438" s="44">
        <v>46047</v>
      </c>
      <c r="H438" s="45" t="e">
        <f t="shared" si="1"/>
        <v>#N/A</v>
      </c>
      <c r="I438" s="46">
        <v>45936.652349537035</v>
      </c>
    </row>
    <row r="439" spans="1:10">
      <c r="A439" s="40" t="s">
        <v>571</v>
      </c>
      <c r="B439" s="40" t="s">
        <v>572</v>
      </c>
      <c r="C439" s="41">
        <v>46122</v>
      </c>
      <c r="D439" s="42" t="s">
        <v>542</v>
      </c>
      <c r="E439" s="42" t="s">
        <v>411</v>
      </c>
      <c r="F439" s="43"/>
      <c r="G439" s="44">
        <v>46107</v>
      </c>
      <c r="H439" s="45" t="e">
        <f t="shared" si="1"/>
        <v>#N/A</v>
      </c>
      <c r="I439" s="46"/>
    </row>
    <row r="440" spans="1:10">
      <c r="A440" s="40" t="s">
        <v>571</v>
      </c>
      <c r="B440" s="40" t="s">
        <v>572</v>
      </c>
      <c r="C440" s="41">
        <v>46091</v>
      </c>
      <c r="D440" s="42" t="s">
        <v>542</v>
      </c>
      <c r="E440" s="42" t="s">
        <v>411</v>
      </c>
      <c r="F440" s="43"/>
      <c r="G440" s="44">
        <v>46079</v>
      </c>
      <c r="H440" s="45" t="e">
        <f t="shared" si="1"/>
        <v>#N/A</v>
      </c>
      <c r="I440" s="43"/>
    </row>
    <row r="441" spans="1:10">
      <c r="A441" s="40" t="s">
        <v>571</v>
      </c>
      <c r="B441" s="40" t="s">
        <v>572</v>
      </c>
      <c r="C441" s="41">
        <v>46063</v>
      </c>
      <c r="D441" s="42" t="s">
        <v>542</v>
      </c>
      <c r="E441" s="42" t="s">
        <v>411</v>
      </c>
      <c r="F441" s="47">
        <v>-0.17</v>
      </c>
      <c r="G441" s="44">
        <v>46048</v>
      </c>
      <c r="H441" s="45" t="e">
        <f t="shared" si="1"/>
        <v>#N/A</v>
      </c>
      <c r="I441" s="46">
        <v>46070.642268518517</v>
      </c>
    </row>
    <row r="442" spans="1:10">
      <c r="A442" s="40" t="s">
        <v>571</v>
      </c>
      <c r="B442" s="40" t="s">
        <v>572</v>
      </c>
      <c r="C442" s="41">
        <v>46032</v>
      </c>
      <c r="D442" s="42" t="s">
        <v>542</v>
      </c>
      <c r="E442" s="42" t="s">
        <v>411</v>
      </c>
      <c r="F442" s="47">
        <v>-0.02</v>
      </c>
      <c r="G442" s="44">
        <v>46381</v>
      </c>
      <c r="H442" s="45" t="e">
        <f t="shared" si="1"/>
        <v>#N/A</v>
      </c>
      <c r="I442" s="46">
        <v>46037.57885416667</v>
      </c>
      <c r="J442" s="40" t="s">
        <v>573</v>
      </c>
    </row>
    <row r="443" spans="1:10">
      <c r="A443" s="40" t="s">
        <v>571</v>
      </c>
      <c r="B443" s="40" t="s">
        <v>572</v>
      </c>
      <c r="C443" s="41">
        <v>46001</v>
      </c>
      <c r="D443" s="42" t="s">
        <v>542</v>
      </c>
      <c r="E443" s="42" t="s">
        <v>411</v>
      </c>
      <c r="F443" s="47">
        <v>-0.14000000000000001</v>
      </c>
      <c r="G443" s="44">
        <v>46351</v>
      </c>
      <c r="H443" s="45" t="e">
        <f t="shared" si="1"/>
        <v>#N/A</v>
      </c>
      <c r="I443" s="46">
        <v>46002.580590277779</v>
      </c>
      <c r="J443" s="40" t="s">
        <v>574</v>
      </c>
    </row>
    <row r="444" spans="1:10">
      <c r="A444" s="40" t="s">
        <v>571</v>
      </c>
      <c r="B444" s="40" t="s">
        <v>572</v>
      </c>
      <c r="C444" s="41">
        <v>45971</v>
      </c>
      <c r="D444" s="42" t="s">
        <v>542</v>
      </c>
      <c r="E444" s="42" t="s">
        <v>411</v>
      </c>
      <c r="F444" s="47">
        <v>-1.1000000000000001</v>
      </c>
      <c r="G444" s="44">
        <v>46320</v>
      </c>
      <c r="H444" s="45" t="e">
        <f t="shared" si="1"/>
        <v>#N/A</v>
      </c>
      <c r="I444" s="46">
        <v>45978.834363425929</v>
      </c>
    </row>
    <row r="445" spans="1:10">
      <c r="A445" s="40" t="s">
        <v>571</v>
      </c>
      <c r="B445" s="40" t="s">
        <v>572</v>
      </c>
      <c r="C445" s="41">
        <v>45940</v>
      </c>
      <c r="D445" s="42" t="s">
        <v>542</v>
      </c>
      <c r="E445" s="42" t="s">
        <v>411</v>
      </c>
      <c r="F445" s="47">
        <v>-0.74</v>
      </c>
      <c r="G445" s="44">
        <v>46290</v>
      </c>
      <c r="H445" s="45" t="e">
        <f t="shared" si="1"/>
        <v>#N/A</v>
      </c>
      <c r="I445" s="46">
        <v>45939.942870370367</v>
      </c>
    </row>
    <row r="446" spans="1:10">
      <c r="A446" s="40" t="s">
        <v>571</v>
      </c>
      <c r="B446" s="40" t="s">
        <v>572</v>
      </c>
      <c r="C446" s="41">
        <v>45910</v>
      </c>
      <c r="D446" s="42" t="s">
        <v>542</v>
      </c>
      <c r="E446" s="42" t="s">
        <v>411</v>
      </c>
      <c r="F446" s="47">
        <v>-0.68</v>
      </c>
      <c r="G446" s="44">
        <v>46259</v>
      </c>
      <c r="H446" s="45" t="e">
        <f t="shared" si="1"/>
        <v>#N/A</v>
      </c>
      <c r="I446" s="46">
        <v>45939.940706018519</v>
      </c>
    </row>
    <row r="447" spans="1:10">
      <c r="A447" s="40" t="s">
        <v>571</v>
      </c>
      <c r="B447" s="40" t="s">
        <v>572</v>
      </c>
      <c r="C447" s="41">
        <v>45879</v>
      </c>
      <c r="D447" s="42" t="s">
        <v>542</v>
      </c>
      <c r="E447" s="42" t="s">
        <v>411</v>
      </c>
      <c r="F447" s="47">
        <v>-0.81</v>
      </c>
      <c r="G447" s="44">
        <v>46228</v>
      </c>
      <c r="H447" s="45" t="e">
        <f t="shared" si="1"/>
        <v>#N/A</v>
      </c>
      <c r="I447" s="46">
        <v>45938.711458333331</v>
      </c>
    </row>
    <row r="448" spans="1:10">
      <c r="A448" s="40" t="s">
        <v>571</v>
      </c>
      <c r="B448" s="40" t="s">
        <v>572</v>
      </c>
      <c r="C448" s="41">
        <v>45848</v>
      </c>
      <c r="D448" s="42" t="s">
        <v>542</v>
      </c>
      <c r="E448" s="42" t="s">
        <v>411</v>
      </c>
      <c r="F448" s="47">
        <v>-0.84</v>
      </c>
      <c r="G448" s="44">
        <v>46198</v>
      </c>
      <c r="H448" s="45" t="e">
        <f t="shared" si="1"/>
        <v>#N/A</v>
      </c>
      <c r="I448" s="46">
        <v>45938.711458333331</v>
      </c>
    </row>
    <row r="449" spans="1:9">
      <c r="A449" s="40" t="s">
        <v>571</v>
      </c>
      <c r="B449" s="40" t="s">
        <v>572</v>
      </c>
      <c r="C449" s="41">
        <v>45818</v>
      </c>
      <c r="D449" s="42" t="s">
        <v>542</v>
      </c>
      <c r="E449" s="42" t="s">
        <v>411</v>
      </c>
      <c r="F449" s="47">
        <v>-0.06</v>
      </c>
      <c r="G449" s="44">
        <v>46167</v>
      </c>
      <c r="H449" s="45" t="e">
        <f t="shared" si="1"/>
        <v>#N/A</v>
      </c>
      <c r="I449" s="46">
        <v>45938.711458333331</v>
      </c>
    </row>
    <row r="450" spans="1:9">
      <c r="A450" s="40" t="s">
        <v>571</v>
      </c>
      <c r="B450" s="40" t="s">
        <v>572</v>
      </c>
      <c r="C450" s="41">
        <v>45787</v>
      </c>
      <c r="D450" s="42" t="s">
        <v>542</v>
      </c>
      <c r="E450" s="42" t="s">
        <v>411</v>
      </c>
      <c r="F450" s="47">
        <v>-0.68</v>
      </c>
      <c r="G450" s="44">
        <v>46137</v>
      </c>
      <c r="H450" s="45" t="e">
        <f t="shared" si="1"/>
        <v>#N/A</v>
      </c>
      <c r="I450" s="46">
        <v>45938.711446759262</v>
      </c>
    </row>
    <row r="451" spans="1:9">
      <c r="A451" s="40" t="s">
        <v>571</v>
      </c>
      <c r="B451" s="40" t="s">
        <v>572</v>
      </c>
      <c r="C451" s="41">
        <v>45757</v>
      </c>
      <c r="D451" s="42" t="s">
        <v>542</v>
      </c>
      <c r="E451" s="42" t="s">
        <v>411</v>
      </c>
      <c r="F451" s="47">
        <v>-0.36</v>
      </c>
      <c r="G451" s="44">
        <v>46106</v>
      </c>
      <c r="H451" s="45" t="e">
        <f t="shared" si="1"/>
        <v>#N/A</v>
      </c>
      <c r="I451" s="46">
        <v>45938.711446759262</v>
      </c>
    </row>
    <row r="452" spans="1:9">
      <c r="A452" s="40" t="s">
        <v>571</v>
      </c>
      <c r="B452" s="40" t="s">
        <v>572</v>
      </c>
      <c r="C452" s="41">
        <v>45726</v>
      </c>
      <c r="D452" s="42" t="s">
        <v>542</v>
      </c>
      <c r="E452" s="42" t="s">
        <v>411</v>
      </c>
      <c r="F452" s="47">
        <v>0.39</v>
      </c>
      <c r="G452" s="44">
        <v>46078</v>
      </c>
      <c r="H452" s="45" t="e">
        <f t="shared" si="1"/>
        <v>#N/A</v>
      </c>
      <c r="I452" s="46">
        <v>45938.711446759262</v>
      </c>
    </row>
    <row r="453" spans="1:9">
      <c r="A453" s="40" t="s">
        <v>571</v>
      </c>
      <c r="B453" s="40" t="s">
        <v>572</v>
      </c>
      <c r="C453" s="41">
        <v>45698</v>
      </c>
      <c r="D453" s="42" t="s">
        <v>542</v>
      </c>
      <c r="E453" s="42" t="s">
        <v>411</v>
      </c>
      <c r="F453" s="47">
        <v>2.48</v>
      </c>
      <c r="G453" s="44">
        <v>46047</v>
      </c>
      <c r="H453" s="45" t="e">
        <f t="shared" si="1"/>
        <v>#N/A</v>
      </c>
      <c r="I453" s="46">
        <v>45938.711446759262</v>
      </c>
    </row>
    <row r="454" spans="1:9">
      <c r="A454" s="40" t="s">
        <v>575</v>
      </c>
      <c r="B454" s="40" t="s">
        <v>576</v>
      </c>
      <c r="C454" s="41">
        <v>46122</v>
      </c>
      <c r="D454" s="42" t="s">
        <v>476</v>
      </c>
      <c r="E454" s="42" t="s">
        <v>411</v>
      </c>
      <c r="F454" s="43"/>
      <c r="G454" s="44">
        <v>46107</v>
      </c>
      <c r="H454" s="45" t="e">
        <f t="shared" si="1"/>
        <v>#N/A</v>
      </c>
      <c r="I454" s="46"/>
    </row>
    <row r="455" spans="1:9">
      <c r="A455" s="40" t="s">
        <v>575</v>
      </c>
      <c r="B455" s="40" t="s">
        <v>576</v>
      </c>
      <c r="C455" s="41">
        <v>46091</v>
      </c>
      <c r="D455" s="42" t="s">
        <v>476</v>
      </c>
      <c r="E455" s="42" t="s">
        <v>411</v>
      </c>
      <c r="F455" s="43"/>
      <c r="G455" s="44">
        <v>46079</v>
      </c>
      <c r="H455" s="45" t="e">
        <f t="shared" si="1"/>
        <v>#N/A</v>
      </c>
      <c r="I455" s="43"/>
    </row>
    <row r="456" spans="1:9">
      <c r="A456" s="40" t="s">
        <v>575</v>
      </c>
      <c r="B456" s="40" t="s">
        <v>576</v>
      </c>
      <c r="C456" s="41">
        <v>46063</v>
      </c>
      <c r="D456" s="42" t="s">
        <v>476</v>
      </c>
      <c r="E456" s="42" t="s">
        <v>411</v>
      </c>
      <c r="F456" s="47">
        <v>81.2</v>
      </c>
      <c r="G456" s="44">
        <v>46048</v>
      </c>
      <c r="H456" s="45" t="e">
        <f t="shared" si="1"/>
        <v>#N/A</v>
      </c>
      <c r="I456" s="46">
        <v>46062.604166666664</v>
      </c>
    </row>
    <row r="457" spans="1:9">
      <c r="A457" s="40" t="s">
        <v>575</v>
      </c>
      <c r="B457" s="40" t="s">
        <v>576</v>
      </c>
      <c r="C457" s="41">
        <v>46032</v>
      </c>
      <c r="D457" s="42" t="s">
        <v>476</v>
      </c>
      <c r="E457" s="42" t="s">
        <v>411</v>
      </c>
      <c r="F457" s="47">
        <v>86.89</v>
      </c>
      <c r="G457" s="44">
        <v>46381</v>
      </c>
      <c r="H457" s="45" t="e">
        <f t="shared" si="1"/>
        <v>#N/A</v>
      </c>
      <c r="I457" s="46">
        <v>46045.603437500002</v>
      </c>
    </row>
    <row r="458" spans="1:9">
      <c r="A458" s="40" t="s">
        <v>575</v>
      </c>
      <c r="B458" s="40" t="s">
        <v>576</v>
      </c>
      <c r="C458" s="41">
        <v>46001</v>
      </c>
      <c r="D458" s="42" t="s">
        <v>476</v>
      </c>
      <c r="E458" s="42" t="s">
        <v>411</v>
      </c>
      <c r="F458" s="47">
        <v>79.25</v>
      </c>
      <c r="G458" s="44">
        <v>46351</v>
      </c>
      <c r="H458" s="45" t="e">
        <f t="shared" si="1"/>
        <v>#N/A</v>
      </c>
      <c r="I458" s="46">
        <v>46045.602789351855</v>
      </c>
    </row>
    <row r="459" spans="1:9">
      <c r="A459" s="40" t="s">
        <v>575</v>
      </c>
      <c r="B459" s="40" t="s">
        <v>576</v>
      </c>
      <c r="C459" s="41">
        <v>45971</v>
      </c>
      <c r="D459" s="42" t="s">
        <v>476</v>
      </c>
      <c r="E459" s="42" t="s">
        <v>411</v>
      </c>
      <c r="F459" s="47">
        <v>85.62</v>
      </c>
      <c r="G459" s="44">
        <v>46320</v>
      </c>
      <c r="H459" s="45" t="e">
        <f t="shared" si="1"/>
        <v>#N/A</v>
      </c>
      <c r="I459" s="46">
        <v>46045.601678240739</v>
      </c>
    </row>
    <row r="460" spans="1:9">
      <c r="A460" s="40" t="s">
        <v>575</v>
      </c>
      <c r="B460" s="40" t="s">
        <v>576</v>
      </c>
      <c r="C460" s="41">
        <v>45940</v>
      </c>
      <c r="D460" s="42" t="s">
        <v>476</v>
      </c>
      <c r="E460" s="42" t="s">
        <v>411</v>
      </c>
      <c r="F460" s="47">
        <v>82.69</v>
      </c>
      <c r="G460" s="44">
        <v>46290</v>
      </c>
      <c r="H460" s="45" t="e">
        <f t="shared" si="1"/>
        <v>#N/A</v>
      </c>
      <c r="I460" s="46">
        <v>46045.600208333337</v>
      </c>
    </row>
    <row r="461" spans="1:9">
      <c r="A461" s="40" t="s">
        <v>575</v>
      </c>
      <c r="B461" s="40" t="s">
        <v>576</v>
      </c>
      <c r="C461" s="41">
        <v>45910</v>
      </c>
      <c r="D461" s="42" t="s">
        <v>476</v>
      </c>
      <c r="E461" s="42" t="s">
        <v>411</v>
      </c>
      <c r="F461" s="47">
        <v>85.94</v>
      </c>
      <c r="G461" s="44">
        <v>46259</v>
      </c>
      <c r="H461" s="45" t="e">
        <f t="shared" si="1"/>
        <v>#N/A</v>
      </c>
      <c r="I461" s="46">
        <v>46045.599062499998</v>
      </c>
    </row>
    <row r="462" spans="1:9">
      <c r="A462" s="40" t="s">
        <v>577</v>
      </c>
      <c r="B462" s="40" t="s">
        <v>578</v>
      </c>
      <c r="C462" s="41">
        <v>46122</v>
      </c>
      <c r="D462" s="42" t="s">
        <v>559</v>
      </c>
      <c r="E462" s="42" t="s">
        <v>411</v>
      </c>
      <c r="F462" s="43"/>
      <c r="G462" s="44">
        <v>46107</v>
      </c>
      <c r="H462" s="45" t="e">
        <f t="shared" si="1"/>
        <v>#N/A</v>
      </c>
      <c r="I462" s="46"/>
    </row>
    <row r="463" spans="1:9">
      <c r="A463" s="40" t="s">
        <v>577</v>
      </c>
      <c r="B463" s="40" t="s">
        <v>578</v>
      </c>
      <c r="C463" s="41">
        <v>46091</v>
      </c>
      <c r="D463" s="42" t="s">
        <v>559</v>
      </c>
      <c r="E463" s="42" t="s">
        <v>411</v>
      </c>
      <c r="F463" s="43"/>
      <c r="G463" s="44">
        <v>46079</v>
      </c>
      <c r="H463" s="45" t="e">
        <f t="shared" si="1"/>
        <v>#N/A</v>
      </c>
      <c r="I463" s="43"/>
    </row>
    <row r="464" spans="1:9">
      <c r="A464" s="40" t="s">
        <v>577</v>
      </c>
      <c r="B464" s="40" t="s">
        <v>578</v>
      </c>
      <c r="C464" s="41">
        <v>46063</v>
      </c>
      <c r="D464" s="42" t="s">
        <v>559</v>
      </c>
      <c r="E464" s="42" t="s">
        <v>411</v>
      </c>
      <c r="F464" s="47">
        <v>1</v>
      </c>
      <c r="G464" s="44">
        <v>46048</v>
      </c>
      <c r="H464" s="45" t="e">
        <f t="shared" si="1"/>
        <v>#N/A</v>
      </c>
      <c r="I464" s="46">
        <v>46066.688252314816</v>
      </c>
    </row>
    <row r="465" spans="1:9">
      <c r="A465" s="40" t="s">
        <v>577</v>
      </c>
      <c r="B465" s="40" t="s">
        <v>578</v>
      </c>
      <c r="C465" s="41">
        <v>46032</v>
      </c>
      <c r="D465" s="42" t="s">
        <v>559</v>
      </c>
      <c r="E465" s="42" t="s">
        <v>411</v>
      </c>
      <c r="F465" s="47">
        <v>1</v>
      </c>
      <c r="G465" s="44">
        <v>46381</v>
      </c>
      <c r="H465" s="45" t="e">
        <f t="shared" si="1"/>
        <v>#N/A</v>
      </c>
      <c r="I465" s="46">
        <v>46042.689340277779</v>
      </c>
    </row>
    <row r="466" spans="1:9">
      <c r="A466" s="40" t="s">
        <v>577</v>
      </c>
      <c r="B466" s="40" t="s">
        <v>578</v>
      </c>
      <c r="C466" s="41">
        <v>46001</v>
      </c>
      <c r="D466" s="42" t="s">
        <v>559</v>
      </c>
      <c r="E466" s="42" t="s">
        <v>411</v>
      </c>
      <c r="F466" s="47">
        <v>3</v>
      </c>
      <c r="G466" s="44">
        <v>46351</v>
      </c>
      <c r="H466" s="45" t="e">
        <f t="shared" si="1"/>
        <v>#N/A</v>
      </c>
      <c r="I466" s="46">
        <v>46008.747245370374</v>
      </c>
    </row>
    <row r="467" spans="1:9">
      <c r="A467" s="40" t="s">
        <v>577</v>
      </c>
      <c r="B467" s="40" t="s">
        <v>578</v>
      </c>
      <c r="C467" s="41">
        <v>45971</v>
      </c>
      <c r="D467" s="42" t="s">
        <v>559</v>
      </c>
      <c r="E467" s="42" t="s">
        <v>411</v>
      </c>
      <c r="F467" s="47">
        <v>3</v>
      </c>
      <c r="G467" s="44">
        <v>46320</v>
      </c>
      <c r="H467" s="45" t="e">
        <f t="shared" si="1"/>
        <v>#N/A</v>
      </c>
      <c r="I467" s="46">
        <v>46009.399131944447</v>
      </c>
    </row>
    <row r="468" spans="1:9">
      <c r="A468" s="40" t="s">
        <v>577</v>
      </c>
      <c r="B468" s="40" t="s">
        <v>578</v>
      </c>
      <c r="C468" s="41">
        <v>45940</v>
      </c>
      <c r="D468" s="42" t="s">
        <v>559</v>
      </c>
      <c r="E468" s="42" t="s">
        <v>411</v>
      </c>
      <c r="F468" s="47">
        <v>3</v>
      </c>
      <c r="G468" s="44">
        <v>46290</v>
      </c>
      <c r="H468" s="45" t="e">
        <f t="shared" si="1"/>
        <v>#N/A</v>
      </c>
      <c r="I468" s="46">
        <v>45943.709247685183</v>
      </c>
    </row>
    <row r="469" spans="1:9">
      <c r="A469" s="40" t="s">
        <v>579</v>
      </c>
      <c r="B469" s="40" t="s">
        <v>580</v>
      </c>
      <c r="C469" s="41">
        <v>46122</v>
      </c>
      <c r="D469" s="42" t="s">
        <v>476</v>
      </c>
      <c r="E469" s="42" t="s">
        <v>411</v>
      </c>
      <c r="F469" s="43"/>
      <c r="G469" s="44">
        <v>46107</v>
      </c>
      <c r="H469" s="45" t="e">
        <f t="shared" si="1"/>
        <v>#N/A</v>
      </c>
      <c r="I469" s="46"/>
    </row>
    <row r="470" spans="1:9">
      <c r="A470" s="40" t="s">
        <v>579</v>
      </c>
      <c r="B470" s="40" t="s">
        <v>580</v>
      </c>
      <c r="C470" s="41">
        <v>46091</v>
      </c>
      <c r="D470" s="42" t="s">
        <v>476</v>
      </c>
      <c r="E470" s="42" t="s">
        <v>411</v>
      </c>
      <c r="F470" s="43"/>
      <c r="G470" s="44">
        <v>46079</v>
      </c>
      <c r="H470" s="45" t="e">
        <f t="shared" si="1"/>
        <v>#N/A</v>
      </c>
      <c r="I470" s="43"/>
    </row>
    <row r="471" spans="1:9">
      <c r="A471" s="40" t="s">
        <v>579</v>
      </c>
      <c r="B471" s="40" t="s">
        <v>580</v>
      </c>
      <c r="C471" s="41">
        <v>46063</v>
      </c>
      <c r="D471" s="42" t="s">
        <v>476</v>
      </c>
      <c r="E471" s="42" t="s">
        <v>411</v>
      </c>
      <c r="F471" s="47">
        <v>98</v>
      </c>
      <c r="G471" s="44">
        <v>46048</v>
      </c>
      <c r="H471" s="45" t="e">
        <f t="shared" si="1"/>
        <v>#N/A</v>
      </c>
      <c r="I471" s="46">
        <v>46063.753229166665</v>
      </c>
    </row>
    <row r="472" spans="1:9">
      <c r="A472" s="40" t="s">
        <v>579</v>
      </c>
      <c r="B472" s="40" t="s">
        <v>580</v>
      </c>
      <c r="C472" s="41">
        <v>46032</v>
      </c>
      <c r="D472" s="42" t="s">
        <v>476</v>
      </c>
      <c r="E472" s="42" t="s">
        <v>411</v>
      </c>
      <c r="F472" s="47">
        <v>96.08</v>
      </c>
      <c r="G472" s="44">
        <v>46381</v>
      </c>
      <c r="H472" s="45" t="e">
        <f t="shared" si="1"/>
        <v>#N/A</v>
      </c>
      <c r="I472" s="46">
        <v>46031.467627314814</v>
      </c>
    </row>
    <row r="473" spans="1:9">
      <c r="A473" s="40" t="s">
        <v>579</v>
      </c>
      <c r="B473" s="40" t="s">
        <v>580</v>
      </c>
      <c r="C473" s="41">
        <v>46001</v>
      </c>
      <c r="D473" s="42" t="s">
        <v>476</v>
      </c>
      <c r="E473" s="42" t="s">
        <v>411</v>
      </c>
      <c r="F473" s="47">
        <v>96.4</v>
      </c>
      <c r="G473" s="44">
        <v>46351</v>
      </c>
      <c r="H473" s="45" t="e">
        <f t="shared" si="1"/>
        <v>#N/A</v>
      </c>
      <c r="I473" s="46">
        <v>46009.681284722225</v>
      </c>
    </row>
    <row r="474" spans="1:9">
      <c r="A474" s="40" t="s">
        <v>579</v>
      </c>
      <c r="B474" s="40" t="s">
        <v>580</v>
      </c>
      <c r="C474" s="41">
        <v>45971</v>
      </c>
      <c r="D474" s="42" t="s">
        <v>476</v>
      </c>
      <c r="E474" s="42" t="s">
        <v>411</v>
      </c>
      <c r="F474" s="47">
        <v>95.16</v>
      </c>
      <c r="G474" s="44">
        <v>46320</v>
      </c>
      <c r="H474" s="45" t="e">
        <f t="shared" si="1"/>
        <v>#N/A</v>
      </c>
      <c r="I474" s="46">
        <v>45968.578969907408</v>
      </c>
    </row>
    <row r="475" spans="1:9">
      <c r="A475" s="40" t="s">
        <v>579</v>
      </c>
      <c r="B475" s="40" t="s">
        <v>580</v>
      </c>
      <c r="C475" s="41">
        <v>45940</v>
      </c>
      <c r="D475" s="42" t="s">
        <v>476</v>
      </c>
      <c r="E475" s="42" t="s">
        <v>411</v>
      </c>
      <c r="F475" s="47">
        <v>97.59</v>
      </c>
      <c r="G475" s="44">
        <v>46290</v>
      </c>
      <c r="H475" s="45" t="e">
        <f t="shared" si="1"/>
        <v>#N/A</v>
      </c>
      <c r="I475" s="46">
        <v>45943.418379629627</v>
      </c>
    </row>
    <row r="476" spans="1:9">
      <c r="A476" s="40" t="s">
        <v>579</v>
      </c>
      <c r="B476" s="40" t="s">
        <v>580</v>
      </c>
      <c r="C476" s="41">
        <v>45910</v>
      </c>
      <c r="D476" s="42" t="s">
        <v>476</v>
      </c>
      <c r="E476" s="42" t="s">
        <v>411</v>
      </c>
      <c r="F476" s="47">
        <v>95.29</v>
      </c>
      <c r="G476" s="44">
        <v>46259</v>
      </c>
      <c r="H476" s="45" t="e">
        <f t="shared" si="1"/>
        <v>#N/A</v>
      </c>
      <c r="I476" s="46">
        <v>45943.402997685182</v>
      </c>
    </row>
    <row r="477" spans="1:9">
      <c r="A477" s="40" t="s">
        <v>579</v>
      </c>
      <c r="B477" s="40" t="s">
        <v>580</v>
      </c>
      <c r="C477" s="41">
        <v>45879</v>
      </c>
      <c r="D477" s="42" t="s">
        <v>476</v>
      </c>
      <c r="E477" s="42" t="s">
        <v>411</v>
      </c>
      <c r="F477" s="47">
        <v>99.4</v>
      </c>
      <c r="G477" s="44">
        <v>46228</v>
      </c>
      <c r="H477" s="45" t="e">
        <f t="shared" si="1"/>
        <v>#N/A</v>
      </c>
      <c r="I477" s="46">
        <v>45936.646504629629</v>
      </c>
    </row>
    <row r="478" spans="1:9">
      <c r="A478" s="40" t="s">
        <v>579</v>
      </c>
      <c r="B478" s="40" t="s">
        <v>580</v>
      </c>
      <c r="C478" s="41">
        <v>45848</v>
      </c>
      <c r="D478" s="42" t="s">
        <v>476</v>
      </c>
      <c r="E478" s="42" t="s">
        <v>411</v>
      </c>
      <c r="F478" s="47">
        <v>96.23</v>
      </c>
      <c r="G478" s="44">
        <v>46198</v>
      </c>
      <c r="H478" s="45" t="e">
        <f t="shared" si="1"/>
        <v>#N/A</v>
      </c>
      <c r="I478" s="46">
        <v>45936.646504629629</v>
      </c>
    </row>
    <row r="479" spans="1:9">
      <c r="A479" s="40" t="s">
        <v>579</v>
      </c>
      <c r="B479" s="40" t="s">
        <v>580</v>
      </c>
      <c r="C479" s="41">
        <v>45818</v>
      </c>
      <c r="D479" s="42" t="s">
        <v>476</v>
      </c>
      <c r="E479" s="42" t="s">
        <v>411</v>
      </c>
      <c r="F479" s="47">
        <v>90.29</v>
      </c>
      <c r="G479" s="44">
        <v>46167</v>
      </c>
      <c r="H479" s="45" t="e">
        <f t="shared" si="1"/>
        <v>#N/A</v>
      </c>
      <c r="I479" s="46">
        <v>45936.646504629629</v>
      </c>
    </row>
    <row r="480" spans="1:9">
      <c r="A480" s="40" t="s">
        <v>579</v>
      </c>
      <c r="B480" s="40" t="s">
        <v>580</v>
      </c>
      <c r="C480" s="41">
        <v>45787</v>
      </c>
      <c r="D480" s="42" t="s">
        <v>476</v>
      </c>
      <c r="E480" s="42" t="s">
        <v>411</v>
      </c>
      <c r="F480" s="47">
        <v>95.23</v>
      </c>
      <c r="G480" s="44">
        <v>46137</v>
      </c>
      <c r="H480" s="45" t="e">
        <f t="shared" si="1"/>
        <v>#N/A</v>
      </c>
      <c r="I480" s="46">
        <v>45936.646493055552</v>
      </c>
    </row>
    <row r="481" spans="1:9">
      <c r="A481" s="40" t="s">
        <v>579</v>
      </c>
      <c r="B481" s="40" t="s">
        <v>580</v>
      </c>
      <c r="C481" s="41">
        <v>45757</v>
      </c>
      <c r="D481" s="42" t="s">
        <v>476</v>
      </c>
      <c r="E481" s="42" t="s">
        <v>411</v>
      </c>
      <c r="F481" s="47">
        <v>95.26</v>
      </c>
      <c r="G481" s="44">
        <v>46106</v>
      </c>
      <c r="H481" s="45" t="e">
        <f t="shared" si="1"/>
        <v>#N/A</v>
      </c>
      <c r="I481" s="46">
        <v>45936.646493055552</v>
      </c>
    </row>
    <row r="482" spans="1:9">
      <c r="A482" s="40" t="s">
        <v>579</v>
      </c>
      <c r="B482" s="40" t="s">
        <v>580</v>
      </c>
      <c r="C482" s="41">
        <v>45726</v>
      </c>
      <c r="D482" s="42" t="s">
        <v>476</v>
      </c>
      <c r="E482" s="42" t="s">
        <v>411</v>
      </c>
      <c r="F482" s="47">
        <v>94.09</v>
      </c>
      <c r="G482" s="44">
        <v>46078</v>
      </c>
      <c r="H482" s="45" t="e">
        <f t="shared" si="1"/>
        <v>#N/A</v>
      </c>
      <c r="I482" s="46">
        <v>45936.646493055552</v>
      </c>
    </row>
    <row r="483" spans="1:9">
      <c r="A483" s="40" t="s">
        <v>579</v>
      </c>
      <c r="B483" s="40" t="s">
        <v>580</v>
      </c>
      <c r="C483" s="41">
        <v>45698</v>
      </c>
      <c r="D483" s="42" t="s">
        <v>476</v>
      </c>
      <c r="E483" s="42" t="s">
        <v>411</v>
      </c>
      <c r="F483" s="47">
        <v>92.65</v>
      </c>
      <c r="G483" s="44">
        <v>46047</v>
      </c>
      <c r="H483" s="45" t="e">
        <f t="shared" si="1"/>
        <v>#N/A</v>
      </c>
      <c r="I483" s="46">
        <v>45936.646493055552</v>
      </c>
    </row>
    <row r="484" spans="1:9">
      <c r="A484" s="40" t="s">
        <v>581</v>
      </c>
      <c r="B484" s="40" t="s">
        <v>582</v>
      </c>
      <c r="C484" s="41">
        <v>46122</v>
      </c>
      <c r="D484" s="42" t="s">
        <v>410</v>
      </c>
      <c r="E484" s="42" t="s">
        <v>411</v>
      </c>
      <c r="F484" s="43"/>
      <c r="G484" s="44">
        <v>46107</v>
      </c>
      <c r="H484" s="45" t="e">
        <f t="shared" si="1"/>
        <v>#N/A</v>
      </c>
      <c r="I484" s="46"/>
    </row>
    <row r="485" spans="1:9">
      <c r="A485" s="40" t="s">
        <v>581</v>
      </c>
      <c r="B485" s="40" t="s">
        <v>582</v>
      </c>
      <c r="C485" s="41">
        <v>46091</v>
      </c>
      <c r="D485" s="42" t="s">
        <v>410</v>
      </c>
      <c r="E485" s="42" t="s">
        <v>411</v>
      </c>
      <c r="F485" s="43"/>
      <c r="G485" s="44">
        <v>46079</v>
      </c>
      <c r="H485" s="45" t="e">
        <f t="shared" si="1"/>
        <v>#N/A</v>
      </c>
      <c r="I485" s="43"/>
    </row>
    <row r="486" spans="1:9">
      <c r="A486" s="40" t="s">
        <v>581</v>
      </c>
      <c r="B486" s="40" t="s">
        <v>582</v>
      </c>
      <c r="C486" s="41">
        <v>46063</v>
      </c>
      <c r="D486" s="42" t="s">
        <v>410</v>
      </c>
      <c r="E486" s="42" t="s">
        <v>411</v>
      </c>
      <c r="F486" s="47">
        <v>80621.63</v>
      </c>
      <c r="G486" s="44">
        <v>46048</v>
      </c>
      <c r="H486" s="45" t="e">
        <f t="shared" si="1"/>
        <v>#N/A</v>
      </c>
      <c r="I486" s="46">
        <v>46063.928807870368</v>
      </c>
    </row>
    <row r="487" spans="1:9">
      <c r="A487" s="40" t="s">
        <v>581</v>
      </c>
      <c r="B487" s="40" t="s">
        <v>582</v>
      </c>
      <c r="C487" s="41">
        <v>46032</v>
      </c>
      <c r="D487" s="42" t="s">
        <v>410</v>
      </c>
      <c r="E487" s="42" t="s">
        <v>411</v>
      </c>
      <c r="F487" s="47">
        <v>83784.899999999994</v>
      </c>
      <c r="G487" s="44">
        <v>46381</v>
      </c>
      <c r="H487" s="45" t="e">
        <f t="shared" si="1"/>
        <v>#N/A</v>
      </c>
      <c r="I487" s="46">
        <v>46034.68476851852</v>
      </c>
    </row>
    <row r="488" spans="1:9">
      <c r="A488" s="40" t="s">
        <v>581</v>
      </c>
      <c r="B488" s="40" t="s">
        <v>582</v>
      </c>
      <c r="C488" s="41">
        <v>46001</v>
      </c>
      <c r="D488" s="42" t="s">
        <v>410</v>
      </c>
      <c r="E488" s="42" t="s">
        <v>411</v>
      </c>
      <c r="F488" s="47">
        <v>77722.25</v>
      </c>
      <c r="G488" s="44">
        <v>46351</v>
      </c>
      <c r="H488" s="45" t="e">
        <f t="shared" si="1"/>
        <v>#N/A</v>
      </c>
      <c r="I488" s="46">
        <v>46009.444085648145</v>
      </c>
    </row>
    <row r="489" spans="1:9">
      <c r="A489" s="40" t="s">
        <v>581</v>
      </c>
      <c r="B489" s="40" t="s">
        <v>582</v>
      </c>
      <c r="C489" s="41">
        <v>45971</v>
      </c>
      <c r="D489" s="42" t="s">
        <v>410</v>
      </c>
      <c r="E489" s="42" t="s">
        <v>411</v>
      </c>
      <c r="F489" s="47">
        <v>71068.27</v>
      </c>
      <c r="G489" s="44">
        <v>46320</v>
      </c>
      <c r="H489" s="45" t="e">
        <f t="shared" si="1"/>
        <v>#N/A</v>
      </c>
      <c r="I489" s="46">
        <v>45978.527418981481</v>
      </c>
    </row>
    <row r="490" spans="1:9">
      <c r="A490" s="40" t="s">
        <v>581</v>
      </c>
      <c r="B490" s="40" t="s">
        <v>582</v>
      </c>
      <c r="C490" s="41">
        <v>45940</v>
      </c>
      <c r="D490" s="42" t="s">
        <v>410</v>
      </c>
      <c r="E490" s="42" t="s">
        <v>411</v>
      </c>
      <c r="F490" s="47">
        <v>78655.03</v>
      </c>
      <c r="G490" s="44">
        <v>46290</v>
      </c>
      <c r="H490" s="45" t="e">
        <f t="shared" si="1"/>
        <v>#N/A</v>
      </c>
      <c r="I490" s="46">
        <v>45943.400856481479</v>
      </c>
    </row>
    <row r="491" spans="1:9">
      <c r="A491" s="40" t="s">
        <v>581</v>
      </c>
      <c r="B491" s="40" t="s">
        <v>582</v>
      </c>
      <c r="C491" s="41">
        <v>45910</v>
      </c>
      <c r="D491" s="42" t="s">
        <v>410</v>
      </c>
      <c r="E491" s="42" t="s">
        <v>411</v>
      </c>
      <c r="F491" s="47">
        <v>68910.63</v>
      </c>
      <c r="G491" s="44">
        <v>46259</v>
      </c>
      <c r="H491" s="45" t="e">
        <f t="shared" si="1"/>
        <v>#N/A</v>
      </c>
      <c r="I491" s="46">
        <v>45936.652349537035</v>
      </c>
    </row>
    <row r="492" spans="1:9">
      <c r="A492" s="40" t="s">
        <v>581</v>
      </c>
      <c r="B492" s="40" t="s">
        <v>582</v>
      </c>
      <c r="C492" s="41">
        <v>45879</v>
      </c>
      <c r="D492" s="42" t="s">
        <v>410</v>
      </c>
      <c r="E492" s="42" t="s">
        <v>411</v>
      </c>
      <c r="F492" s="47">
        <v>73740.23</v>
      </c>
      <c r="G492" s="44">
        <v>46228</v>
      </c>
      <c r="H492" s="45" t="e">
        <f t="shared" si="1"/>
        <v>#N/A</v>
      </c>
      <c r="I492" s="46">
        <v>45936.652349537035</v>
      </c>
    </row>
    <row r="493" spans="1:9">
      <c r="A493" s="40" t="s">
        <v>581</v>
      </c>
      <c r="B493" s="40" t="s">
        <v>582</v>
      </c>
      <c r="C493" s="41">
        <v>45848</v>
      </c>
      <c r="D493" s="42" t="s">
        <v>410</v>
      </c>
      <c r="E493" s="42" t="s">
        <v>411</v>
      </c>
      <c r="F493" s="47">
        <v>68560.479999999996</v>
      </c>
      <c r="G493" s="44">
        <v>46198</v>
      </c>
      <c r="H493" s="45" t="e">
        <f t="shared" si="1"/>
        <v>#N/A</v>
      </c>
      <c r="I493" s="46">
        <v>45936.652349537035</v>
      </c>
    </row>
    <row r="494" spans="1:9">
      <c r="A494" s="40" t="s">
        <v>581</v>
      </c>
      <c r="B494" s="40" t="s">
        <v>582</v>
      </c>
      <c r="C494" s="41">
        <v>45818</v>
      </c>
      <c r="D494" s="42" t="s">
        <v>410</v>
      </c>
      <c r="E494" s="42" t="s">
        <v>411</v>
      </c>
      <c r="F494" s="47">
        <v>70810.399999999994</v>
      </c>
      <c r="G494" s="44">
        <v>46167</v>
      </c>
      <c r="H494" s="45" t="e">
        <f t="shared" si="1"/>
        <v>#N/A</v>
      </c>
      <c r="I494" s="46">
        <v>45936.652349537035</v>
      </c>
    </row>
    <row r="495" spans="1:9">
      <c r="A495" s="40" t="s">
        <v>581</v>
      </c>
      <c r="B495" s="40" t="s">
        <v>582</v>
      </c>
      <c r="C495" s="41">
        <v>45787</v>
      </c>
      <c r="D495" s="42" t="s">
        <v>410</v>
      </c>
      <c r="E495" s="42" t="s">
        <v>411</v>
      </c>
      <c r="F495" s="47">
        <v>76632.22</v>
      </c>
      <c r="G495" s="44">
        <v>46137</v>
      </c>
      <c r="H495" s="45" t="e">
        <f t="shared" si="1"/>
        <v>#N/A</v>
      </c>
      <c r="I495" s="46">
        <v>45936.652349537035</v>
      </c>
    </row>
    <row r="496" spans="1:9">
      <c r="A496" s="40" t="s">
        <v>581</v>
      </c>
      <c r="B496" s="40" t="s">
        <v>582</v>
      </c>
      <c r="C496" s="41">
        <v>45757</v>
      </c>
      <c r="D496" s="42" t="s">
        <v>410</v>
      </c>
      <c r="E496" s="42" t="s">
        <v>411</v>
      </c>
      <c r="F496" s="47">
        <v>64695.8</v>
      </c>
      <c r="G496" s="44">
        <v>46106</v>
      </c>
      <c r="H496" s="45" t="e">
        <f t="shared" si="1"/>
        <v>#N/A</v>
      </c>
      <c r="I496" s="46">
        <v>45936.652349537035</v>
      </c>
    </row>
    <row r="497" spans="1:10">
      <c r="A497" s="40" t="s">
        <v>581</v>
      </c>
      <c r="B497" s="40" t="s">
        <v>582</v>
      </c>
      <c r="C497" s="41">
        <v>45726</v>
      </c>
      <c r="D497" s="42" t="s">
        <v>410</v>
      </c>
      <c r="E497" s="42" t="s">
        <v>411</v>
      </c>
      <c r="F497" s="47">
        <v>57773.599999999999</v>
      </c>
      <c r="G497" s="44">
        <v>46078</v>
      </c>
      <c r="H497" s="45" t="e">
        <f t="shared" si="1"/>
        <v>#N/A</v>
      </c>
      <c r="I497" s="46">
        <v>45936.652349537035</v>
      </c>
    </row>
    <row r="498" spans="1:10">
      <c r="A498" s="40" t="s">
        <v>581</v>
      </c>
      <c r="B498" s="40" t="s">
        <v>582</v>
      </c>
      <c r="C498" s="41">
        <v>45698</v>
      </c>
      <c r="D498" s="42" t="s">
        <v>410</v>
      </c>
      <c r="E498" s="42" t="s">
        <v>411</v>
      </c>
      <c r="F498" s="47">
        <v>64519.91</v>
      </c>
      <c r="G498" s="44">
        <v>46047</v>
      </c>
      <c r="H498" s="45" t="e">
        <f t="shared" si="1"/>
        <v>#N/A</v>
      </c>
      <c r="I498" s="46">
        <v>45936.652349537035</v>
      </c>
    </row>
    <row r="499" spans="1:10">
      <c r="A499" s="40" t="s">
        <v>583</v>
      </c>
      <c r="B499" s="40" t="s">
        <v>584</v>
      </c>
      <c r="C499" s="41">
        <v>46117</v>
      </c>
      <c r="D499" s="42" t="s">
        <v>476</v>
      </c>
      <c r="E499" s="42" t="s">
        <v>411</v>
      </c>
      <c r="F499" s="43"/>
      <c r="G499" s="44">
        <v>46107</v>
      </c>
      <c r="H499" s="45" t="e">
        <f t="shared" si="1"/>
        <v>#N/A</v>
      </c>
      <c r="I499" s="46"/>
    </row>
    <row r="500" spans="1:10">
      <c r="A500" s="40" t="s">
        <v>583</v>
      </c>
      <c r="B500" s="40" t="s">
        <v>584</v>
      </c>
      <c r="C500" s="41">
        <v>46086</v>
      </c>
      <c r="D500" s="42" t="s">
        <v>476</v>
      </c>
      <c r="E500" s="42" t="s">
        <v>411</v>
      </c>
      <c r="F500" s="43"/>
      <c r="G500" s="44">
        <v>46079</v>
      </c>
      <c r="H500" s="45" t="e">
        <f t="shared" si="1"/>
        <v>#N/A</v>
      </c>
      <c r="I500" s="43"/>
    </row>
    <row r="501" spans="1:10">
      <c r="A501" s="40" t="s">
        <v>583</v>
      </c>
      <c r="B501" s="40" t="s">
        <v>584</v>
      </c>
      <c r="C501" s="41">
        <v>46058</v>
      </c>
      <c r="D501" s="42" t="s">
        <v>476</v>
      </c>
      <c r="E501" s="42" t="s">
        <v>411</v>
      </c>
      <c r="F501" s="47">
        <v>62.5</v>
      </c>
      <c r="G501" s="44">
        <v>46048</v>
      </c>
      <c r="H501" s="45" t="e">
        <f t="shared" si="1"/>
        <v>#N/A</v>
      </c>
      <c r="I501" s="46">
        <v>46065.785127314812</v>
      </c>
      <c r="J501" s="40" t="s">
        <v>585</v>
      </c>
    </row>
    <row r="502" spans="1:10">
      <c r="A502" s="40" t="s">
        <v>583</v>
      </c>
      <c r="B502" s="40" t="s">
        <v>584</v>
      </c>
      <c r="C502" s="41">
        <v>46027</v>
      </c>
      <c r="D502" s="42" t="s">
        <v>476</v>
      </c>
      <c r="E502" s="42" t="s">
        <v>411</v>
      </c>
      <c r="F502" s="43"/>
      <c r="G502" s="44">
        <v>46381</v>
      </c>
      <c r="H502" s="45" t="e">
        <f t="shared" si="1"/>
        <v>#N/A</v>
      </c>
      <c r="I502" s="43"/>
    </row>
    <row r="503" spans="1:10">
      <c r="A503" s="40" t="s">
        <v>583</v>
      </c>
      <c r="B503" s="40" t="s">
        <v>584</v>
      </c>
      <c r="C503" s="41">
        <v>45996</v>
      </c>
      <c r="D503" s="42" t="s">
        <v>476</v>
      </c>
      <c r="E503" s="42" t="s">
        <v>411</v>
      </c>
      <c r="F503" s="43"/>
      <c r="G503" s="44">
        <v>46351</v>
      </c>
      <c r="H503" s="45" t="e">
        <f t="shared" si="1"/>
        <v>#N/A</v>
      </c>
      <c r="I503" s="43"/>
    </row>
    <row r="504" spans="1:10">
      <c r="A504" s="40" t="s">
        <v>583</v>
      </c>
      <c r="B504" s="40" t="s">
        <v>584</v>
      </c>
      <c r="C504" s="41">
        <v>45966</v>
      </c>
      <c r="D504" s="42" t="s">
        <v>476</v>
      </c>
      <c r="E504" s="42" t="s">
        <v>411</v>
      </c>
      <c r="F504" s="43"/>
      <c r="G504" s="44">
        <v>46320</v>
      </c>
      <c r="H504" s="45" t="e">
        <f t="shared" si="1"/>
        <v>#N/A</v>
      </c>
      <c r="I504" s="43"/>
    </row>
    <row r="505" spans="1:10">
      <c r="A505" s="40" t="s">
        <v>583</v>
      </c>
      <c r="B505" s="40" t="s">
        <v>584</v>
      </c>
      <c r="C505" s="41">
        <v>45935</v>
      </c>
      <c r="D505" s="42" t="s">
        <v>476</v>
      </c>
      <c r="E505" s="42" t="s">
        <v>411</v>
      </c>
      <c r="F505" s="43"/>
      <c r="G505" s="44">
        <v>46290</v>
      </c>
      <c r="H505" s="45" t="e">
        <f t="shared" si="1"/>
        <v>#N/A</v>
      </c>
      <c r="I505" s="43"/>
    </row>
    <row r="506" spans="1:10">
      <c r="A506" s="40" t="s">
        <v>583</v>
      </c>
      <c r="B506" s="40" t="s">
        <v>584</v>
      </c>
      <c r="C506" s="41">
        <v>45905</v>
      </c>
      <c r="D506" s="42" t="s">
        <v>476</v>
      </c>
      <c r="E506" s="42" t="s">
        <v>411</v>
      </c>
      <c r="F506" s="43"/>
      <c r="G506" s="44">
        <v>46259</v>
      </c>
      <c r="H506" s="45" t="e">
        <f t="shared" si="1"/>
        <v>#N/A</v>
      </c>
      <c r="I506" s="43"/>
    </row>
    <row r="507" spans="1:10">
      <c r="A507" s="40" t="s">
        <v>586</v>
      </c>
      <c r="B507" s="40" t="s">
        <v>587</v>
      </c>
      <c r="C507" s="41">
        <v>46117</v>
      </c>
      <c r="D507" s="42" t="s">
        <v>476</v>
      </c>
      <c r="E507" s="42" t="s">
        <v>411</v>
      </c>
      <c r="F507" s="43"/>
      <c r="G507" s="44">
        <v>46107</v>
      </c>
      <c r="H507" s="45" t="e">
        <f t="shared" si="1"/>
        <v>#N/A</v>
      </c>
      <c r="I507" s="46"/>
    </row>
    <row r="508" spans="1:10">
      <c r="A508" s="40" t="s">
        <v>586</v>
      </c>
      <c r="B508" s="40" t="s">
        <v>587</v>
      </c>
      <c r="C508" s="41">
        <v>46086</v>
      </c>
      <c r="D508" s="42" t="s">
        <v>476</v>
      </c>
      <c r="E508" s="42" t="s">
        <v>411</v>
      </c>
      <c r="F508" s="43"/>
      <c r="G508" s="44">
        <v>46079</v>
      </c>
      <c r="H508" s="45" t="e">
        <f t="shared" si="1"/>
        <v>#N/A</v>
      </c>
      <c r="I508" s="43"/>
    </row>
    <row r="509" spans="1:10">
      <c r="A509" s="40" t="s">
        <v>586</v>
      </c>
      <c r="B509" s="40" t="s">
        <v>587</v>
      </c>
      <c r="C509" s="41">
        <v>46058</v>
      </c>
      <c r="D509" s="42" t="s">
        <v>476</v>
      </c>
      <c r="E509" s="42" t="s">
        <v>411</v>
      </c>
      <c r="F509" s="47">
        <v>23</v>
      </c>
      <c r="G509" s="44">
        <v>46048</v>
      </c>
      <c r="H509" s="45" t="e">
        <f t="shared" si="1"/>
        <v>#N/A</v>
      </c>
      <c r="I509" s="46">
        <v>46065.828298611108</v>
      </c>
      <c r="J509" s="40" t="s">
        <v>588</v>
      </c>
    </row>
    <row r="510" spans="1:10">
      <c r="A510" s="40" t="s">
        <v>586</v>
      </c>
      <c r="B510" s="40" t="s">
        <v>587</v>
      </c>
      <c r="C510" s="41">
        <v>46027</v>
      </c>
      <c r="D510" s="42" t="s">
        <v>476</v>
      </c>
      <c r="E510" s="42" t="s">
        <v>411</v>
      </c>
      <c r="F510" s="43"/>
      <c r="G510" s="44">
        <v>46381</v>
      </c>
      <c r="H510" s="45" t="e">
        <f t="shared" si="1"/>
        <v>#N/A</v>
      </c>
      <c r="I510" s="43"/>
    </row>
    <row r="511" spans="1:10">
      <c r="A511" s="40" t="s">
        <v>586</v>
      </c>
      <c r="B511" s="40" t="s">
        <v>587</v>
      </c>
      <c r="C511" s="41">
        <v>45996</v>
      </c>
      <c r="D511" s="42" t="s">
        <v>476</v>
      </c>
      <c r="E511" s="42" t="s">
        <v>411</v>
      </c>
      <c r="F511" s="43"/>
      <c r="G511" s="44">
        <v>46351</v>
      </c>
      <c r="H511" s="45" t="e">
        <f t="shared" si="1"/>
        <v>#N/A</v>
      </c>
      <c r="I511" s="43"/>
    </row>
    <row r="512" spans="1:10">
      <c r="A512" s="40" t="s">
        <v>586</v>
      </c>
      <c r="B512" s="40" t="s">
        <v>587</v>
      </c>
      <c r="C512" s="41">
        <v>45966</v>
      </c>
      <c r="D512" s="42" t="s">
        <v>476</v>
      </c>
      <c r="E512" s="42" t="s">
        <v>411</v>
      </c>
      <c r="F512" s="43"/>
      <c r="G512" s="44">
        <v>46320</v>
      </c>
      <c r="H512" s="45" t="e">
        <f t="shared" ref="H512:H766" si="2">DATE(2000+RIGHT(G512,2),MATCH(LEFT(G512,3),{"jan";"fev";"mar";"abr";"mai";"jun";"jul";"ago";"set";"out";"nov";"dez"},0),1)</f>
        <v>#N/A</v>
      </c>
      <c r="I512" s="43"/>
    </row>
    <row r="513" spans="1:10">
      <c r="A513" s="40" t="s">
        <v>586</v>
      </c>
      <c r="B513" s="40" t="s">
        <v>587</v>
      </c>
      <c r="C513" s="41">
        <v>45935</v>
      </c>
      <c r="D513" s="42" t="s">
        <v>476</v>
      </c>
      <c r="E513" s="42" t="s">
        <v>411</v>
      </c>
      <c r="F513" s="43"/>
      <c r="G513" s="44">
        <v>46290</v>
      </c>
      <c r="H513" s="45" t="e">
        <f t="shared" si="2"/>
        <v>#N/A</v>
      </c>
      <c r="I513" s="43"/>
    </row>
    <row r="514" spans="1:10">
      <c r="A514" s="40" t="s">
        <v>586</v>
      </c>
      <c r="B514" s="40" t="s">
        <v>587</v>
      </c>
      <c r="C514" s="41">
        <v>45905</v>
      </c>
      <c r="D514" s="42" t="s">
        <v>476</v>
      </c>
      <c r="E514" s="42" t="s">
        <v>411</v>
      </c>
      <c r="F514" s="43"/>
      <c r="G514" s="44">
        <v>46259</v>
      </c>
      <c r="H514" s="45" t="e">
        <f t="shared" si="2"/>
        <v>#N/A</v>
      </c>
      <c r="I514" s="43"/>
    </row>
    <row r="515" spans="1:10">
      <c r="A515" s="40" t="s">
        <v>589</v>
      </c>
      <c r="B515" s="40" t="s">
        <v>590</v>
      </c>
      <c r="C515" s="41">
        <v>46117</v>
      </c>
      <c r="D515" s="42" t="s">
        <v>476</v>
      </c>
      <c r="E515" s="42" t="s">
        <v>411</v>
      </c>
      <c r="F515" s="43"/>
      <c r="G515" s="44">
        <v>46107</v>
      </c>
      <c r="H515" s="45" t="e">
        <f t="shared" si="2"/>
        <v>#N/A</v>
      </c>
      <c r="I515" s="46"/>
    </row>
    <row r="516" spans="1:10">
      <c r="A516" s="40" t="s">
        <v>589</v>
      </c>
      <c r="B516" s="40" t="s">
        <v>590</v>
      </c>
      <c r="C516" s="41">
        <v>46086</v>
      </c>
      <c r="D516" s="42" t="s">
        <v>476</v>
      </c>
      <c r="E516" s="42" t="s">
        <v>411</v>
      </c>
      <c r="F516" s="43"/>
      <c r="G516" s="44">
        <v>46079</v>
      </c>
      <c r="H516" s="45" t="e">
        <f t="shared" si="2"/>
        <v>#N/A</v>
      </c>
      <c r="I516" s="43"/>
    </row>
    <row r="517" spans="1:10">
      <c r="A517" s="40" t="s">
        <v>589</v>
      </c>
      <c r="B517" s="40" t="s">
        <v>590</v>
      </c>
      <c r="C517" s="41">
        <v>46058</v>
      </c>
      <c r="D517" s="42" t="s">
        <v>476</v>
      </c>
      <c r="E517" s="42" t="s">
        <v>411</v>
      </c>
      <c r="F517" s="47">
        <v>71.400000000000006</v>
      </c>
      <c r="G517" s="44">
        <v>46048</v>
      </c>
      <c r="H517" s="45" t="e">
        <f t="shared" si="2"/>
        <v>#N/A</v>
      </c>
      <c r="I517" s="46">
        <v>46065.788229166668</v>
      </c>
      <c r="J517" s="40" t="s">
        <v>591</v>
      </c>
    </row>
    <row r="518" spans="1:10">
      <c r="A518" s="40" t="s">
        <v>589</v>
      </c>
      <c r="B518" s="40" t="s">
        <v>590</v>
      </c>
      <c r="C518" s="41">
        <v>46027</v>
      </c>
      <c r="D518" s="42" t="s">
        <v>476</v>
      </c>
      <c r="E518" s="42" t="s">
        <v>411</v>
      </c>
      <c r="F518" s="43"/>
      <c r="G518" s="44">
        <v>46381</v>
      </c>
      <c r="H518" s="45" t="e">
        <f t="shared" si="2"/>
        <v>#N/A</v>
      </c>
      <c r="I518" s="43"/>
    </row>
    <row r="519" spans="1:10">
      <c r="A519" s="40" t="s">
        <v>589</v>
      </c>
      <c r="B519" s="40" t="s">
        <v>590</v>
      </c>
      <c r="C519" s="41">
        <v>45996</v>
      </c>
      <c r="D519" s="42" t="s">
        <v>476</v>
      </c>
      <c r="E519" s="42" t="s">
        <v>411</v>
      </c>
      <c r="F519" s="43"/>
      <c r="G519" s="44">
        <v>46351</v>
      </c>
      <c r="H519" s="45" t="e">
        <f t="shared" si="2"/>
        <v>#N/A</v>
      </c>
      <c r="I519" s="43"/>
    </row>
    <row r="520" spans="1:10">
      <c r="A520" s="40" t="s">
        <v>589</v>
      </c>
      <c r="B520" s="40" t="s">
        <v>590</v>
      </c>
      <c r="C520" s="41">
        <v>45966</v>
      </c>
      <c r="D520" s="42" t="s">
        <v>476</v>
      </c>
      <c r="E520" s="42" t="s">
        <v>411</v>
      </c>
      <c r="F520" s="43"/>
      <c r="G520" s="44">
        <v>46320</v>
      </c>
      <c r="H520" s="45" t="e">
        <f t="shared" si="2"/>
        <v>#N/A</v>
      </c>
      <c r="I520" s="43"/>
    </row>
    <row r="521" spans="1:10">
      <c r="A521" s="40" t="s">
        <v>589</v>
      </c>
      <c r="B521" s="40" t="s">
        <v>590</v>
      </c>
      <c r="C521" s="41">
        <v>45935</v>
      </c>
      <c r="D521" s="42" t="s">
        <v>476</v>
      </c>
      <c r="E521" s="42" t="s">
        <v>411</v>
      </c>
      <c r="F521" s="43"/>
      <c r="G521" s="44">
        <v>46290</v>
      </c>
      <c r="H521" s="45" t="e">
        <f t="shared" si="2"/>
        <v>#N/A</v>
      </c>
      <c r="I521" s="43"/>
    </row>
    <row r="522" spans="1:10">
      <c r="A522" s="40" t="s">
        <v>589</v>
      </c>
      <c r="B522" s="40" t="s">
        <v>590</v>
      </c>
      <c r="C522" s="41">
        <v>45905</v>
      </c>
      <c r="D522" s="42" t="s">
        <v>476</v>
      </c>
      <c r="E522" s="42" t="s">
        <v>411</v>
      </c>
      <c r="F522" s="43"/>
      <c r="G522" s="44">
        <v>46259</v>
      </c>
      <c r="H522" s="45" t="e">
        <f t="shared" si="2"/>
        <v>#N/A</v>
      </c>
      <c r="I522" s="43"/>
    </row>
    <row r="523" spans="1:10">
      <c r="A523" s="40" t="s">
        <v>592</v>
      </c>
      <c r="B523" s="40" t="s">
        <v>593</v>
      </c>
      <c r="C523" s="41">
        <v>46117</v>
      </c>
      <c r="D523" s="42" t="s">
        <v>476</v>
      </c>
      <c r="E523" s="42" t="s">
        <v>411</v>
      </c>
      <c r="F523" s="43"/>
      <c r="G523" s="44">
        <v>46107</v>
      </c>
      <c r="H523" s="45" t="e">
        <f t="shared" si="2"/>
        <v>#N/A</v>
      </c>
      <c r="I523" s="46"/>
    </row>
    <row r="524" spans="1:10">
      <c r="A524" s="40" t="s">
        <v>592</v>
      </c>
      <c r="B524" s="40" t="s">
        <v>593</v>
      </c>
      <c r="C524" s="41">
        <v>46086</v>
      </c>
      <c r="D524" s="42" t="s">
        <v>476</v>
      </c>
      <c r="E524" s="42" t="s">
        <v>411</v>
      </c>
      <c r="F524" s="43"/>
      <c r="G524" s="44">
        <v>46079</v>
      </c>
      <c r="H524" s="45" t="e">
        <f t="shared" si="2"/>
        <v>#N/A</v>
      </c>
      <c r="I524" s="43"/>
    </row>
    <row r="525" spans="1:10">
      <c r="A525" s="40" t="s">
        <v>592</v>
      </c>
      <c r="B525" s="40" t="s">
        <v>593</v>
      </c>
      <c r="C525" s="41">
        <v>46058</v>
      </c>
      <c r="D525" s="42" t="s">
        <v>476</v>
      </c>
      <c r="E525" s="42" t="s">
        <v>411</v>
      </c>
      <c r="F525" s="47">
        <v>71.400000000000006</v>
      </c>
      <c r="G525" s="44">
        <v>46048</v>
      </c>
      <c r="H525" s="45" t="e">
        <f t="shared" si="2"/>
        <v>#N/A</v>
      </c>
      <c r="I525" s="46">
        <v>46065.610347222224</v>
      </c>
      <c r="J525" s="40" t="s">
        <v>594</v>
      </c>
    </row>
    <row r="526" spans="1:10">
      <c r="A526" s="40" t="s">
        <v>592</v>
      </c>
      <c r="B526" s="40" t="s">
        <v>593</v>
      </c>
      <c r="C526" s="41">
        <v>46027</v>
      </c>
      <c r="D526" s="42" t="s">
        <v>476</v>
      </c>
      <c r="E526" s="42" t="s">
        <v>411</v>
      </c>
      <c r="F526" s="43"/>
      <c r="G526" s="44">
        <v>46381</v>
      </c>
      <c r="H526" s="45" t="e">
        <f t="shared" si="2"/>
        <v>#N/A</v>
      </c>
      <c r="I526" s="43"/>
    </row>
    <row r="527" spans="1:10">
      <c r="A527" s="40" t="s">
        <v>592</v>
      </c>
      <c r="B527" s="40" t="s">
        <v>593</v>
      </c>
      <c r="C527" s="41">
        <v>45996</v>
      </c>
      <c r="D527" s="42" t="s">
        <v>476</v>
      </c>
      <c r="E527" s="42" t="s">
        <v>411</v>
      </c>
      <c r="F527" s="43"/>
      <c r="G527" s="44">
        <v>46351</v>
      </c>
      <c r="H527" s="45" t="e">
        <f t="shared" si="2"/>
        <v>#N/A</v>
      </c>
      <c r="I527" s="43"/>
    </row>
    <row r="528" spans="1:10">
      <c r="A528" s="40" t="s">
        <v>592</v>
      </c>
      <c r="B528" s="40" t="s">
        <v>593</v>
      </c>
      <c r="C528" s="41">
        <v>45966</v>
      </c>
      <c r="D528" s="42" t="s">
        <v>476</v>
      </c>
      <c r="E528" s="42" t="s">
        <v>411</v>
      </c>
      <c r="F528" s="43"/>
      <c r="G528" s="44">
        <v>46320</v>
      </c>
      <c r="H528" s="45" t="e">
        <f t="shared" si="2"/>
        <v>#N/A</v>
      </c>
      <c r="I528" s="43"/>
    </row>
    <row r="529" spans="1:10">
      <c r="A529" s="40" t="s">
        <v>592</v>
      </c>
      <c r="B529" s="40" t="s">
        <v>593</v>
      </c>
      <c r="C529" s="41">
        <v>45935</v>
      </c>
      <c r="D529" s="42" t="s">
        <v>476</v>
      </c>
      <c r="E529" s="42" t="s">
        <v>411</v>
      </c>
      <c r="F529" s="43"/>
      <c r="G529" s="44">
        <v>46290</v>
      </c>
      <c r="H529" s="45" t="e">
        <f t="shared" si="2"/>
        <v>#N/A</v>
      </c>
      <c r="I529" s="43"/>
    </row>
    <row r="530" spans="1:10">
      <c r="A530" s="40" t="s">
        <v>592</v>
      </c>
      <c r="B530" s="40" t="s">
        <v>593</v>
      </c>
      <c r="C530" s="41">
        <v>45905</v>
      </c>
      <c r="D530" s="42" t="s">
        <v>476</v>
      </c>
      <c r="E530" s="42" t="s">
        <v>411</v>
      </c>
      <c r="F530" s="43"/>
      <c r="G530" s="44">
        <v>46259</v>
      </c>
      <c r="H530" s="45" t="e">
        <f t="shared" si="2"/>
        <v>#N/A</v>
      </c>
      <c r="I530" s="43"/>
    </row>
    <row r="531" spans="1:10">
      <c r="A531" s="40" t="s">
        <v>595</v>
      </c>
      <c r="B531" s="40" t="s">
        <v>596</v>
      </c>
      <c r="C531" s="41">
        <v>46122</v>
      </c>
      <c r="D531" s="42" t="s">
        <v>410</v>
      </c>
      <c r="E531" s="42" t="s">
        <v>411</v>
      </c>
      <c r="F531" s="43"/>
      <c r="G531" s="44">
        <v>46107</v>
      </c>
      <c r="H531" s="45" t="e">
        <f t="shared" si="2"/>
        <v>#N/A</v>
      </c>
      <c r="I531" s="46"/>
    </row>
    <row r="532" spans="1:10">
      <c r="A532" s="40" t="s">
        <v>595</v>
      </c>
      <c r="B532" s="40" t="s">
        <v>596</v>
      </c>
      <c r="C532" s="41">
        <v>46091</v>
      </c>
      <c r="D532" s="42" t="s">
        <v>410</v>
      </c>
      <c r="E532" s="42" t="s">
        <v>411</v>
      </c>
      <c r="F532" s="43"/>
      <c r="G532" s="44">
        <v>46079</v>
      </c>
      <c r="H532" s="45" t="e">
        <f t="shared" si="2"/>
        <v>#N/A</v>
      </c>
      <c r="I532" s="43"/>
    </row>
    <row r="533" spans="1:10">
      <c r="A533" s="40" t="s">
        <v>595</v>
      </c>
      <c r="B533" s="40" t="s">
        <v>596</v>
      </c>
      <c r="C533" s="41">
        <v>46063</v>
      </c>
      <c r="D533" s="42" t="s">
        <v>410</v>
      </c>
      <c r="E533" s="42" t="s">
        <v>411</v>
      </c>
      <c r="F533" s="47">
        <v>897044.8</v>
      </c>
      <c r="G533" s="44">
        <v>46048</v>
      </c>
      <c r="H533" s="45" t="e">
        <f t="shared" si="2"/>
        <v>#N/A</v>
      </c>
      <c r="I533" s="46">
        <v>46073.555462962962</v>
      </c>
      <c r="J533" s="40" t="s">
        <v>597</v>
      </c>
    </row>
    <row r="534" spans="1:10">
      <c r="A534" s="40" t="s">
        <v>598</v>
      </c>
      <c r="B534" s="40" t="s">
        <v>599</v>
      </c>
      <c r="C534" s="41">
        <v>46122</v>
      </c>
      <c r="D534" s="42" t="s">
        <v>410</v>
      </c>
      <c r="E534" s="42" t="s">
        <v>411</v>
      </c>
      <c r="F534" s="43"/>
      <c r="G534" s="44">
        <v>46107</v>
      </c>
      <c r="H534" s="45" t="e">
        <f t="shared" si="2"/>
        <v>#N/A</v>
      </c>
      <c r="I534" s="46"/>
    </row>
    <row r="535" spans="1:10">
      <c r="A535" s="40" t="s">
        <v>598</v>
      </c>
      <c r="B535" s="40" t="s">
        <v>599</v>
      </c>
      <c r="C535" s="41">
        <v>46091</v>
      </c>
      <c r="D535" s="42" t="s">
        <v>410</v>
      </c>
      <c r="E535" s="42" t="s">
        <v>411</v>
      </c>
      <c r="F535" s="43"/>
      <c r="G535" s="44">
        <v>46079</v>
      </c>
      <c r="H535" s="45" t="e">
        <f t="shared" si="2"/>
        <v>#N/A</v>
      </c>
      <c r="I535" s="43"/>
    </row>
    <row r="536" spans="1:10">
      <c r="A536" s="40" t="s">
        <v>598</v>
      </c>
      <c r="B536" s="40" t="s">
        <v>599</v>
      </c>
      <c r="C536" s="41">
        <v>46063</v>
      </c>
      <c r="D536" s="42" t="s">
        <v>410</v>
      </c>
      <c r="E536" s="42" t="s">
        <v>411</v>
      </c>
      <c r="F536" s="47">
        <v>1823859.11</v>
      </c>
      <c r="G536" s="44">
        <v>46048</v>
      </c>
      <c r="H536" s="45" t="e">
        <f t="shared" si="2"/>
        <v>#N/A</v>
      </c>
      <c r="I536" s="46">
        <v>46072.622453703705</v>
      </c>
      <c r="J536" s="40" t="s">
        <v>600</v>
      </c>
    </row>
    <row r="537" spans="1:10">
      <c r="A537" s="40" t="s">
        <v>598</v>
      </c>
      <c r="B537" s="40" t="s">
        <v>599</v>
      </c>
      <c r="C537" s="41">
        <v>46032</v>
      </c>
      <c r="D537" s="42" t="s">
        <v>410</v>
      </c>
      <c r="E537" s="42" t="s">
        <v>411</v>
      </c>
      <c r="F537" s="47">
        <v>2089141.96</v>
      </c>
      <c r="G537" s="44">
        <v>46381</v>
      </c>
      <c r="H537" s="45" t="e">
        <f t="shared" si="2"/>
        <v>#N/A</v>
      </c>
      <c r="I537" s="46">
        <v>46035.568738425929</v>
      </c>
      <c r="J537" s="40" t="s">
        <v>601</v>
      </c>
    </row>
    <row r="538" spans="1:10">
      <c r="A538" s="40" t="s">
        <v>598</v>
      </c>
      <c r="B538" s="40" t="s">
        <v>599</v>
      </c>
      <c r="C538" s="41">
        <v>46001</v>
      </c>
      <c r="D538" s="42" t="s">
        <v>410</v>
      </c>
      <c r="E538" s="42" t="s">
        <v>411</v>
      </c>
      <c r="F538" s="47">
        <v>1699739.87</v>
      </c>
      <c r="G538" s="44">
        <v>46351</v>
      </c>
      <c r="H538" s="45" t="e">
        <f t="shared" si="2"/>
        <v>#N/A</v>
      </c>
      <c r="I538" s="46">
        <v>46010.729571759257</v>
      </c>
      <c r="J538" s="40" t="s">
        <v>602</v>
      </c>
    </row>
    <row r="539" spans="1:10">
      <c r="A539" s="40" t="s">
        <v>598</v>
      </c>
      <c r="B539" s="40" t="s">
        <v>599</v>
      </c>
      <c r="C539" s="41">
        <v>45971</v>
      </c>
      <c r="D539" s="42" t="s">
        <v>410</v>
      </c>
      <c r="E539" s="42" t="s">
        <v>411</v>
      </c>
      <c r="F539" s="47">
        <v>1797315.4</v>
      </c>
      <c r="G539" s="44">
        <v>46320</v>
      </c>
      <c r="H539" s="45" t="e">
        <f t="shared" si="2"/>
        <v>#N/A</v>
      </c>
      <c r="I539" s="46">
        <v>45985.670057870368</v>
      </c>
      <c r="J539" s="40" t="s">
        <v>603</v>
      </c>
    </row>
    <row r="540" spans="1:10">
      <c r="A540" s="40" t="s">
        <v>598</v>
      </c>
      <c r="B540" s="40" t="s">
        <v>599</v>
      </c>
      <c r="C540" s="41">
        <v>45940</v>
      </c>
      <c r="D540" s="42" t="s">
        <v>410</v>
      </c>
      <c r="E540" s="42" t="s">
        <v>411</v>
      </c>
      <c r="F540" s="47">
        <v>1838595.16</v>
      </c>
      <c r="G540" s="44">
        <v>46290</v>
      </c>
      <c r="H540" s="45" t="e">
        <f t="shared" si="2"/>
        <v>#N/A</v>
      </c>
      <c r="I540" s="46">
        <v>45951.747129629628</v>
      </c>
    </row>
    <row r="541" spans="1:10">
      <c r="A541" s="40" t="s">
        <v>598</v>
      </c>
      <c r="B541" s="40" t="s">
        <v>599</v>
      </c>
      <c r="C541" s="41">
        <v>45910</v>
      </c>
      <c r="D541" s="42" t="s">
        <v>410</v>
      </c>
      <c r="E541" s="42" t="s">
        <v>411</v>
      </c>
      <c r="F541" s="47">
        <v>1848765</v>
      </c>
      <c r="G541" s="44">
        <v>46259</v>
      </c>
      <c r="H541" s="45" t="e">
        <f t="shared" si="2"/>
        <v>#N/A</v>
      </c>
      <c r="I541" s="46">
        <v>45946.392974537041</v>
      </c>
    </row>
    <row r="542" spans="1:10">
      <c r="A542" s="40" t="s">
        <v>598</v>
      </c>
      <c r="B542" s="40" t="s">
        <v>599</v>
      </c>
      <c r="C542" s="41">
        <v>45879</v>
      </c>
      <c r="D542" s="42" t="s">
        <v>410</v>
      </c>
      <c r="E542" s="42" t="s">
        <v>411</v>
      </c>
      <c r="F542" s="47">
        <v>1976471.61</v>
      </c>
      <c r="G542" s="44">
        <v>46228</v>
      </c>
      <c r="H542" s="45" t="e">
        <f t="shared" si="2"/>
        <v>#N/A</v>
      </c>
      <c r="I542" s="46">
        <v>45946.392685185187</v>
      </c>
    </row>
    <row r="543" spans="1:10">
      <c r="A543" s="40" t="s">
        <v>598</v>
      </c>
      <c r="B543" s="40" t="s">
        <v>599</v>
      </c>
      <c r="C543" s="41">
        <v>45848</v>
      </c>
      <c r="D543" s="42" t="s">
        <v>410</v>
      </c>
      <c r="E543" s="42" t="s">
        <v>411</v>
      </c>
      <c r="F543" s="47">
        <v>1905341.09</v>
      </c>
      <c r="G543" s="44">
        <v>46198</v>
      </c>
      <c r="H543" s="45" t="e">
        <f t="shared" si="2"/>
        <v>#N/A</v>
      </c>
      <c r="I543" s="46">
        <v>45946.392569444448</v>
      </c>
    </row>
    <row r="544" spans="1:10">
      <c r="A544" s="40" t="s">
        <v>598</v>
      </c>
      <c r="B544" s="40" t="s">
        <v>599</v>
      </c>
      <c r="C544" s="41">
        <v>45818</v>
      </c>
      <c r="D544" s="42" t="s">
        <v>410</v>
      </c>
      <c r="E544" s="42" t="s">
        <v>411</v>
      </c>
      <c r="F544" s="47">
        <v>1949547.01</v>
      </c>
      <c r="G544" s="44">
        <v>46167</v>
      </c>
      <c r="H544" s="45" t="e">
        <f t="shared" si="2"/>
        <v>#N/A</v>
      </c>
      <c r="I544" s="46">
        <v>45946.392442129632</v>
      </c>
    </row>
    <row r="545" spans="1:10">
      <c r="A545" s="40" t="s">
        <v>598</v>
      </c>
      <c r="B545" s="40" t="s">
        <v>599</v>
      </c>
      <c r="C545" s="41">
        <v>45787</v>
      </c>
      <c r="D545" s="42" t="s">
        <v>410</v>
      </c>
      <c r="E545" s="42" t="s">
        <v>411</v>
      </c>
      <c r="F545" s="47">
        <v>1898092.77</v>
      </c>
      <c r="G545" s="44">
        <v>46137</v>
      </c>
      <c r="H545" s="45" t="e">
        <f t="shared" si="2"/>
        <v>#N/A</v>
      </c>
      <c r="I545" s="46">
        <v>45946.391446759262</v>
      </c>
    </row>
    <row r="546" spans="1:10">
      <c r="A546" s="40" t="s">
        <v>598</v>
      </c>
      <c r="B546" s="40" t="s">
        <v>599</v>
      </c>
      <c r="C546" s="41">
        <v>45757</v>
      </c>
      <c r="D546" s="42" t="s">
        <v>410</v>
      </c>
      <c r="E546" s="42" t="s">
        <v>411</v>
      </c>
      <c r="F546" s="47">
        <v>1855648.25</v>
      </c>
      <c r="G546" s="44">
        <v>46106</v>
      </c>
      <c r="H546" s="45" t="e">
        <f t="shared" si="2"/>
        <v>#N/A</v>
      </c>
      <c r="I546" s="46">
        <v>45946.391203703701</v>
      </c>
    </row>
    <row r="547" spans="1:10">
      <c r="A547" s="40" t="s">
        <v>598</v>
      </c>
      <c r="B547" s="40" t="s">
        <v>599</v>
      </c>
      <c r="C547" s="41">
        <v>45726</v>
      </c>
      <c r="D547" s="42" t="s">
        <v>410</v>
      </c>
      <c r="E547" s="42" t="s">
        <v>411</v>
      </c>
      <c r="F547" s="47">
        <v>1886283.4</v>
      </c>
      <c r="G547" s="44">
        <v>46078</v>
      </c>
      <c r="H547" s="45" t="e">
        <f t="shared" si="2"/>
        <v>#N/A</v>
      </c>
      <c r="I547" s="46">
        <v>45946.391111111108</v>
      </c>
    </row>
    <row r="548" spans="1:10">
      <c r="A548" s="40" t="s">
        <v>598</v>
      </c>
      <c r="B548" s="40" t="s">
        <v>599</v>
      </c>
      <c r="C548" s="41">
        <v>45698</v>
      </c>
      <c r="D548" s="42" t="s">
        <v>410</v>
      </c>
      <c r="E548" s="42" t="s">
        <v>411</v>
      </c>
      <c r="F548" s="47">
        <v>2090440.99</v>
      </c>
      <c r="G548" s="44">
        <v>46047</v>
      </c>
      <c r="H548" s="45" t="e">
        <f t="shared" si="2"/>
        <v>#N/A</v>
      </c>
      <c r="I548" s="46">
        <v>45946.390902777777</v>
      </c>
    </row>
    <row r="549" spans="1:10">
      <c r="A549" s="40" t="s">
        <v>604</v>
      </c>
      <c r="B549" s="40" t="s">
        <v>605</v>
      </c>
      <c r="C549" s="41">
        <v>46117</v>
      </c>
      <c r="D549" s="42" t="s">
        <v>606</v>
      </c>
      <c r="E549" s="42" t="s">
        <v>411</v>
      </c>
      <c r="F549" s="43"/>
      <c r="G549" s="44">
        <v>46107</v>
      </c>
      <c r="H549" s="45" t="e">
        <f t="shared" si="2"/>
        <v>#N/A</v>
      </c>
      <c r="I549" s="46"/>
    </row>
    <row r="550" spans="1:10">
      <c r="A550" s="40" t="s">
        <v>604</v>
      </c>
      <c r="B550" s="40" t="s">
        <v>605</v>
      </c>
      <c r="C550" s="41">
        <v>46086</v>
      </c>
      <c r="D550" s="42" t="s">
        <v>606</v>
      </c>
      <c r="E550" s="42" t="s">
        <v>411</v>
      </c>
      <c r="F550" s="43"/>
      <c r="G550" s="44">
        <v>46079</v>
      </c>
      <c r="H550" s="45" t="e">
        <f t="shared" si="2"/>
        <v>#N/A</v>
      </c>
      <c r="I550" s="43"/>
    </row>
    <row r="551" spans="1:10">
      <c r="A551" s="40" t="s">
        <v>604</v>
      </c>
      <c r="B551" s="40" t="s">
        <v>605</v>
      </c>
      <c r="C551" s="41">
        <v>46058</v>
      </c>
      <c r="D551" s="42" t="s">
        <v>606</v>
      </c>
      <c r="E551" s="42" t="s">
        <v>411</v>
      </c>
      <c r="F551" s="47">
        <v>7461.5</v>
      </c>
      <c r="G551" s="44">
        <v>46048</v>
      </c>
      <c r="H551" s="45" t="e">
        <f t="shared" si="2"/>
        <v>#N/A</v>
      </c>
      <c r="I551" s="46">
        <v>46064.763368055559</v>
      </c>
    </row>
    <row r="552" spans="1:10">
      <c r="A552" s="40" t="s">
        <v>604</v>
      </c>
      <c r="B552" s="40" t="s">
        <v>605</v>
      </c>
      <c r="C552" s="41">
        <v>46027</v>
      </c>
      <c r="D552" s="42" t="s">
        <v>606</v>
      </c>
      <c r="E552" s="42" t="s">
        <v>411</v>
      </c>
      <c r="F552" s="47">
        <v>7934</v>
      </c>
      <c r="G552" s="44">
        <v>46381</v>
      </c>
      <c r="H552" s="45" t="e">
        <f t="shared" si="2"/>
        <v>#N/A</v>
      </c>
      <c r="I552" s="46">
        <v>46034.352152777778</v>
      </c>
      <c r="J552" s="40" t="s">
        <v>607</v>
      </c>
    </row>
    <row r="553" spans="1:10">
      <c r="A553" s="40" t="s">
        <v>604</v>
      </c>
      <c r="B553" s="40" t="s">
        <v>605</v>
      </c>
      <c r="C553" s="41">
        <v>45996</v>
      </c>
      <c r="D553" s="42" t="s">
        <v>606</v>
      </c>
      <c r="E553" s="42" t="s">
        <v>411</v>
      </c>
      <c r="F553" s="47">
        <v>8017</v>
      </c>
      <c r="G553" s="44">
        <v>46351</v>
      </c>
      <c r="H553" s="45" t="e">
        <f t="shared" si="2"/>
        <v>#N/A</v>
      </c>
      <c r="I553" s="46">
        <v>46007.516122685185</v>
      </c>
      <c r="J553" s="40" t="s">
        <v>608</v>
      </c>
    </row>
    <row r="554" spans="1:10">
      <c r="A554" s="40" t="s">
        <v>604</v>
      </c>
      <c r="B554" s="40" t="s">
        <v>605</v>
      </c>
      <c r="C554" s="41">
        <v>45966</v>
      </c>
      <c r="D554" s="42" t="s">
        <v>606</v>
      </c>
      <c r="E554" s="42" t="s">
        <v>411</v>
      </c>
      <c r="F554" s="47">
        <v>7844</v>
      </c>
      <c r="G554" s="44">
        <v>46320</v>
      </c>
      <c r="H554" s="45" t="e">
        <f t="shared" si="2"/>
        <v>#N/A</v>
      </c>
      <c r="I554" s="46">
        <v>45985.43891203704</v>
      </c>
      <c r="J554" s="40" t="s">
        <v>609</v>
      </c>
    </row>
    <row r="555" spans="1:10">
      <c r="A555" s="40" t="s">
        <v>604</v>
      </c>
      <c r="B555" s="40" t="s">
        <v>605</v>
      </c>
      <c r="C555" s="41">
        <v>45935</v>
      </c>
      <c r="D555" s="42" t="s">
        <v>606</v>
      </c>
      <c r="E555" s="42" t="s">
        <v>411</v>
      </c>
      <c r="F555" s="47">
        <v>9367</v>
      </c>
      <c r="G555" s="44">
        <v>46290</v>
      </c>
      <c r="H555" s="45" t="e">
        <f t="shared" si="2"/>
        <v>#N/A</v>
      </c>
      <c r="I555" s="46">
        <v>45945.656087962961</v>
      </c>
    </row>
    <row r="556" spans="1:10">
      <c r="A556" s="40" t="s">
        <v>604</v>
      </c>
      <c r="B556" s="40" t="s">
        <v>605</v>
      </c>
      <c r="C556" s="41">
        <v>45905</v>
      </c>
      <c r="D556" s="42" t="s">
        <v>606</v>
      </c>
      <c r="E556" s="42" t="s">
        <v>411</v>
      </c>
      <c r="F556" s="47">
        <v>8772</v>
      </c>
      <c r="G556" s="44">
        <v>46259</v>
      </c>
      <c r="H556" s="45" t="e">
        <f t="shared" si="2"/>
        <v>#N/A</v>
      </c>
      <c r="I556" s="46">
        <v>45945.656087962961</v>
      </c>
    </row>
    <row r="557" spans="1:10">
      <c r="A557" s="40" t="s">
        <v>604</v>
      </c>
      <c r="B557" s="40" t="s">
        <v>605</v>
      </c>
      <c r="C557" s="41">
        <v>45874</v>
      </c>
      <c r="D557" s="42" t="s">
        <v>606</v>
      </c>
      <c r="E557" s="42" t="s">
        <v>411</v>
      </c>
      <c r="F557" s="47">
        <v>9212</v>
      </c>
      <c r="G557" s="44">
        <v>46228</v>
      </c>
      <c r="H557" s="45" t="e">
        <f t="shared" si="2"/>
        <v>#N/A</v>
      </c>
      <c r="I557" s="46">
        <v>45945.656087962961</v>
      </c>
    </row>
    <row r="558" spans="1:10">
      <c r="A558" s="40" t="s">
        <v>604</v>
      </c>
      <c r="B558" s="40" t="s">
        <v>605</v>
      </c>
      <c r="C558" s="41">
        <v>45843</v>
      </c>
      <c r="D558" s="42" t="s">
        <v>606</v>
      </c>
      <c r="E558" s="42" t="s">
        <v>411</v>
      </c>
      <c r="F558" s="47">
        <v>10449</v>
      </c>
      <c r="G558" s="44">
        <v>46198</v>
      </c>
      <c r="H558" s="45" t="e">
        <f t="shared" si="2"/>
        <v>#N/A</v>
      </c>
      <c r="I558" s="46">
        <v>45945.656087962961</v>
      </c>
    </row>
    <row r="559" spans="1:10">
      <c r="A559" s="40" t="s">
        <v>604</v>
      </c>
      <c r="B559" s="40" t="s">
        <v>605</v>
      </c>
      <c r="C559" s="41">
        <v>45813</v>
      </c>
      <c r="D559" s="42" t="s">
        <v>606</v>
      </c>
      <c r="E559" s="42" t="s">
        <v>411</v>
      </c>
      <c r="F559" s="47">
        <v>11692</v>
      </c>
      <c r="G559" s="44">
        <v>46167</v>
      </c>
      <c r="H559" s="45" t="e">
        <f t="shared" si="2"/>
        <v>#N/A</v>
      </c>
      <c r="I559" s="46">
        <v>45945.656087962961</v>
      </c>
    </row>
    <row r="560" spans="1:10">
      <c r="A560" s="40" t="s">
        <v>604</v>
      </c>
      <c r="B560" s="40" t="s">
        <v>605</v>
      </c>
      <c r="C560" s="41">
        <v>45782</v>
      </c>
      <c r="D560" s="42" t="s">
        <v>606</v>
      </c>
      <c r="E560" s="42" t="s">
        <v>411</v>
      </c>
      <c r="F560" s="47">
        <v>13149</v>
      </c>
      <c r="G560" s="44">
        <v>46137</v>
      </c>
      <c r="H560" s="45" t="e">
        <f t="shared" si="2"/>
        <v>#N/A</v>
      </c>
      <c r="I560" s="46">
        <v>45945.656087962961</v>
      </c>
    </row>
    <row r="561" spans="1:10">
      <c r="A561" s="40" t="s">
        <v>604</v>
      </c>
      <c r="B561" s="40" t="s">
        <v>605</v>
      </c>
      <c r="C561" s="41">
        <v>45752</v>
      </c>
      <c r="D561" s="42" t="s">
        <v>606</v>
      </c>
      <c r="E561" s="42" t="s">
        <v>411</v>
      </c>
      <c r="F561" s="47">
        <v>12784</v>
      </c>
      <c r="G561" s="44">
        <v>46106</v>
      </c>
      <c r="H561" s="45" t="e">
        <f t="shared" si="2"/>
        <v>#N/A</v>
      </c>
      <c r="I561" s="46">
        <v>45945.656087962961</v>
      </c>
    </row>
    <row r="562" spans="1:10">
      <c r="A562" s="40" t="s">
        <v>604</v>
      </c>
      <c r="B562" s="40" t="s">
        <v>605</v>
      </c>
      <c r="C562" s="41">
        <v>45721</v>
      </c>
      <c r="D562" s="42" t="s">
        <v>606</v>
      </c>
      <c r="E562" s="42" t="s">
        <v>411</v>
      </c>
      <c r="F562" s="47">
        <v>13920</v>
      </c>
      <c r="G562" s="44">
        <v>46078</v>
      </c>
      <c r="H562" s="45" t="e">
        <f t="shared" si="2"/>
        <v>#N/A</v>
      </c>
      <c r="I562" s="46">
        <v>45945.656087962961</v>
      </c>
    </row>
    <row r="563" spans="1:10">
      <c r="A563" s="40" t="s">
        <v>604</v>
      </c>
      <c r="B563" s="40" t="s">
        <v>605</v>
      </c>
      <c r="C563" s="41">
        <v>45693</v>
      </c>
      <c r="D563" s="42" t="s">
        <v>606</v>
      </c>
      <c r="E563" s="42" t="s">
        <v>411</v>
      </c>
      <c r="F563" s="47">
        <v>15057</v>
      </c>
      <c r="G563" s="44">
        <v>46047</v>
      </c>
      <c r="H563" s="45" t="e">
        <f t="shared" si="2"/>
        <v>#N/A</v>
      </c>
      <c r="I563" s="46">
        <v>45945.656087962961</v>
      </c>
    </row>
    <row r="564" spans="1:10">
      <c r="A564" s="40" t="s">
        <v>610</v>
      </c>
      <c r="B564" s="40" t="s">
        <v>611</v>
      </c>
      <c r="C564" s="41">
        <v>46117</v>
      </c>
      <c r="D564" s="42" t="s">
        <v>476</v>
      </c>
      <c r="E564" s="42" t="s">
        <v>411</v>
      </c>
      <c r="F564" s="43"/>
      <c r="G564" s="44">
        <v>46107</v>
      </c>
      <c r="H564" s="45" t="e">
        <f t="shared" si="2"/>
        <v>#N/A</v>
      </c>
      <c r="I564" s="46"/>
    </row>
    <row r="565" spans="1:10">
      <c r="A565" s="40" t="s">
        <v>610</v>
      </c>
      <c r="B565" s="40" t="s">
        <v>611</v>
      </c>
      <c r="C565" s="41">
        <v>46086</v>
      </c>
      <c r="D565" s="42" t="s">
        <v>476</v>
      </c>
      <c r="E565" s="42" t="s">
        <v>411</v>
      </c>
      <c r="F565" s="43"/>
      <c r="G565" s="44">
        <v>46079</v>
      </c>
      <c r="H565" s="45" t="e">
        <f t="shared" si="2"/>
        <v>#N/A</v>
      </c>
      <c r="I565" s="43"/>
    </row>
    <row r="566" spans="1:10">
      <c r="A566" s="40" t="s">
        <v>610</v>
      </c>
      <c r="B566" s="40" t="s">
        <v>611</v>
      </c>
      <c r="C566" s="41">
        <v>46058</v>
      </c>
      <c r="D566" s="42" t="s">
        <v>476</v>
      </c>
      <c r="E566" s="42" t="s">
        <v>411</v>
      </c>
      <c r="F566" s="47">
        <v>2.17</v>
      </c>
      <c r="G566" s="44">
        <v>46048</v>
      </c>
      <c r="H566" s="45" t="e">
        <f t="shared" si="2"/>
        <v>#N/A</v>
      </c>
      <c r="I566" s="46">
        <v>46064.667824074073</v>
      </c>
      <c r="J566" s="40" t="s">
        <v>612</v>
      </c>
    </row>
    <row r="567" spans="1:10">
      <c r="A567" s="40" t="s">
        <v>610</v>
      </c>
      <c r="B567" s="40" t="s">
        <v>611</v>
      </c>
      <c r="C567" s="41">
        <v>46027</v>
      </c>
      <c r="D567" s="42" t="s">
        <v>476</v>
      </c>
      <c r="E567" s="42" t="s">
        <v>411</v>
      </c>
      <c r="F567" s="47">
        <v>4.37</v>
      </c>
      <c r="G567" s="44">
        <v>46381</v>
      </c>
      <c r="H567" s="45" t="e">
        <f t="shared" si="2"/>
        <v>#N/A</v>
      </c>
      <c r="I567" s="46">
        <v>46031.781643518516</v>
      </c>
      <c r="J567" s="40" t="s">
        <v>613</v>
      </c>
    </row>
    <row r="568" spans="1:10">
      <c r="A568" s="40" t="s">
        <v>610</v>
      </c>
      <c r="B568" s="40" t="s">
        <v>611</v>
      </c>
      <c r="C568" s="41">
        <v>45996</v>
      </c>
      <c r="D568" s="42" t="s">
        <v>476</v>
      </c>
      <c r="E568" s="42" t="s">
        <v>411</v>
      </c>
      <c r="F568" s="47">
        <v>2.93</v>
      </c>
      <c r="G568" s="44">
        <v>46351</v>
      </c>
      <c r="H568" s="45" t="e">
        <f t="shared" si="2"/>
        <v>#N/A</v>
      </c>
      <c r="I568" s="46">
        <v>46006.755682870367</v>
      </c>
      <c r="J568" s="40" t="s">
        <v>614</v>
      </c>
    </row>
    <row r="569" spans="1:10">
      <c r="A569" s="40" t="s">
        <v>610</v>
      </c>
      <c r="B569" s="40" t="s">
        <v>611</v>
      </c>
      <c r="C569" s="41">
        <v>45966</v>
      </c>
      <c r="D569" s="42" t="s">
        <v>476</v>
      </c>
      <c r="E569" s="42" t="s">
        <v>411</v>
      </c>
      <c r="F569" s="47">
        <v>4.4000000000000004</v>
      </c>
      <c r="G569" s="44">
        <v>46320</v>
      </c>
      <c r="H569" s="45" t="e">
        <f t="shared" si="2"/>
        <v>#N/A</v>
      </c>
      <c r="I569" s="46">
        <v>45974.779560185183</v>
      </c>
      <c r="J569" s="40" t="s">
        <v>615</v>
      </c>
    </row>
    <row r="570" spans="1:10">
      <c r="A570" s="40" t="s">
        <v>610</v>
      </c>
      <c r="B570" s="40" t="s">
        <v>611</v>
      </c>
      <c r="C570" s="41">
        <v>45935</v>
      </c>
      <c r="D570" s="42" t="s">
        <v>476</v>
      </c>
      <c r="E570" s="42" t="s">
        <v>411</v>
      </c>
      <c r="F570" s="47">
        <v>2.5499999999999998</v>
      </c>
      <c r="G570" s="44">
        <v>46290</v>
      </c>
      <c r="H570" s="45" t="e">
        <f t="shared" si="2"/>
        <v>#N/A</v>
      </c>
      <c r="I570" s="46">
        <v>45945.674710648149</v>
      </c>
    </row>
    <row r="571" spans="1:10">
      <c r="A571" s="40" t="s">
        <v>610</v>
      </c>
      <c r="B571" s="40" t="s">
        <v>611</v>
      </c>
      <c r="C571" s="41">
        <v>45905</v>
      </c>
      <c r="D571" s="42" t="s">
        <v>476</v>
      </c>
      <c r="E571" s="42" t="s">
        <v>411</v>
      </c>
      <c r="F571" s="47">
        <v>2.54</v>
      </c>
      <c r="G571" s="44">
        <v>46259</v>
      </c>
      <c r="H571" s="45" t="e">
        <f t="shared" si="2"/>
        <v>#N/A</v>
      </c>
      <c r="I571" s="46">
        <v>45945.674618055556</v>
      </c>
    </row>
    <row r="572" spans="1:10">
      <c r="A572" s="40" t="s">
        <v>610</v>
      </c>
      <c r="B572" s="40" t="s">
        <v>611</v>
      </c>
      <c r="C572" s="41">
        <v>45874</v>
      </c>
      <c r="D572" s="42" t="s">
        <v>476</v>
      </c>
      <c r="E572" s="42" t="s">
        <v>411</v>
      </c>
      <c r="F572" s="47">
        <v>4.7300000000000004</v>
      </c>
      <c r="G572" s="44">
        <v>46228</v>
      </c>
      <c r="H572" s="45" t="e">
        <f t="shared" si="2"/>
        <v>#N/A</v>
      </c>
      <c r="I572" s="46">
        <v>45938.713923611111</v>
      </c>
    </row>
    <row r="573" spans="1:10">
      <c r="A573" s="40" t="s">
        <v>610</v>
      </c>
      <c r="B573" s="40" t="s">
        <v>611</v>
      </c>
      <c r="C573" s="41">
        <v>45843</v>
      </c>
      <c r="D573" s="42" t="s">
        <v>476</v>
      </c>
      <c r="E573" s="42" t="s">
        <v>411</v>
      </c>
      <c r="F573" s="47">
        <v>3.37</v>
      </c>
      <c r="G573" s="44">
        <v>46198</v>
      </c>
      <c r="H573" s="45" t="e">
        <f t="shared" si="2"/>
        <v>#N/A</v>
      </c>
      <c r="I573" s="46">
        <v>45938.713923611111</v>
      </c>
    </row>
    <row r="574" spans="1:10">
      <c r="A574" s="40" t="s">
        <v>610</v>
      </c>
      <c r="B574" s="40" t="s">
        <v>611</v>
      </c>
      <c r="C574" s="41">
        <v>45813</v>
      </c>
      <c r="D574" s="42" t="s">
        <v>476</v>
      </c>
      <c r="E574" s="42" t="s">
        <v>411</v>
      </c>
      <c r="F574" s="47">
        <v>5.05</v>
      </c>
      <c r="G574" s="44">
        <v>46167</v>
      </c>
      <c r="H574" s="45" t="e">
        <f t="shared" si="2"/>
        <v>#N/A</v>
      </c>
      <c r="I574" s="46">
        <v>45938.713923611111</v>
      </c>
    </row>
    <row r="575" spans="1:10">
      <c r="A575" s="40" t="s">
        <v>610</v>
      </c>
      <c r="B575" s="40" t="s">
        <v>611</v>
      </c>
      <c r="C575" s="41">
        <v>45782</v>
      </c>
      <c r="D575" s="42" t="s">
        <v>476</v>
      </c>
      <c r="E575" s="42" t="s">
        <v>411</v>
      </c>
      <c r="F575" s="47">
        <v>4.04</v>
      </c>
      <c r="G575" s="44">
        <v>46137</v>
      </c>
      <c r="H575" s="45" t="e">
        <f t="shared" si="2"/>
        <v>#N/A</v>
      </c>
      <c r="I575" s="46">
        <v>45938.713923611111</v>
      </c>
    </row>
    <row r="576" spans="1:10">
      <c r="A576" s="40" t="s">
        <v>610</v>
      </c>
      <c r="B576" s="40" t="s">
        <v>611</v>
      </c>
      <c r="C576" s="41">
        <v>45752</v>
      </c>
      <c r="D576" s="42" t="s">
        <v>476</v>
      </c>
      <c r="E576" s="42" t="s">
        <v>411</v>
      </c>
      <c r="F576" s="47">
        <v>3.09</v>
      </c>
      <c r="G576" s="44">
        <v>46106</v>
      </c>
      <c r="H576" s="45" t="e">
        <f t="shared" si="2"/>
        <v>#N/A</v>
      </c>
      <c r="I576" s="46">
        <v>45938.713923611111</v>
      </c>
    </row>
    <row r="577" spans="1:10">
      <c r="A577" s="40" t="s">
        <v>610</v>
      </c>
      <c r="B577" s="40" t="s">
        <v>611</v>
      </c>
      <c r="C577" s="41">
        <v>45721</v>
      </c>
      <c r="D577" s="42" t="s">
        <v>476</v>
      </c>
      <c r="E577" s="42" t="s">
        <v>411</v>
      </c>
      <c r="F577" s="47">
        <v>4.16</v>
      </c>
      <c r="G577" s="44">
        <v>46078</v>
      </c>
      <c r="H577" s="45" t="e">
        <f t="shared" si="2"/>
        <v>#N/A</v>
      </c>
      <c r="I577" s="46">
        <v>45938.713912037034</v>
      </c>
    </row>
    <row r="578" spans="1:10">
      <c r="A578" s="40" t="s">
        <v>610</v>
      </c>
      <c r="B578" s="40" t="s">
        <v>611</v>
      </c>
      <c r="C578" s="41">
        <v>45693</v>
      </c>
      <c r="D578" s="42" t="s">
        <v>476</v>
      </c>
      <c r="E578" s="42" t="s">
        <v>411</v>
      </c>
      <c r="F578" s="47">
        <v>6.49</v>
      </c>
      <c r="G578" s="44">
        <v>46047</v>
      </c>
      <c r="H578" s="45" t="e">
        <f t="shared" si="2"/>
        <v>#N/A</v>
      </c>
      <c r="I578" s="46">
        <v>45938.713912037034</v>
      </c>
    </row>
    <row r="579" spans="1:10">
      <c r="A579" s="40" t="s">
        <v>616</v>
      </c>
      <c r="B579" s="40" t="s">
        <v>617</v>
      </c>
      <c r="C579" s="41">
        <v>46117</v>
      </c>
      <c r="D579" s="42" t="s">
        <v>476</v>
      </c>
      <c r="E579" s="42" t="s">
        <v>411</v>
      </c>
      <c r="F579" s="43"/>
      <c r="G579" s="44">
        <v>46107</v>
      </c>
      <c r="H579" s="45" t="e">
        <f t="shared" si="2"/>
        <v>#N/A</v>
      </c>
      <c r="I579" s="46"/>
    </row>
    <row r="580" spans="1:10">
      <c r="A580" s="40" t="s">
        <v>616</v>
      </c>
      <c r="B580" s="40" t="s">
        <v>617</v>
      </c>
      <c r="C580" s="41">
        <v>46086</v>
      </c>
      <c r="D580" s="42" t="s">
        <v>476</v>
      </c>
      <c r="E580" s="42" t="s">
        <v>411</v>
      </c>
      <c r="F580" s="43"/>
      <c r="G580" s="44">
        <v>46079</v>
      </c>
      <c r="H580" s="45" t="e">
        <f t="shared" si="2"/>
        <v>#N/A</v>
      </c>
      <c r="I580" s="43"/>
    </row>
    <row r="581" spans="1:10">
      <c r="A581" s="40" t="s">
        <v>616</v>
      </c>
      <c r="B581" s="40" t="s">
        <v>617</v>
      </c>
      <c r="C581" s="41">
        <v>46058</v>
      </c>
      <c r="D581" s="42" t="s">
        <v>476</v>
      </c>
      <c r="E581" s="42" t="s">
        <v>411</v>
      </c>
      <c r="F581" s="47">
        <v>2.19</v>
      </c>
      <c r="G581" s="44">
        <v>46048</v>
      </c>
      <c r="H581" s="45" t="e">
        <f t="shared" si="2"/>
        <v>#N/A</v>
      </c>
      <c r="I581" s="46">
        <v>46064.69358796296</v>
      </c>
    </row>
    <row r="582" spans="1:10">
      <c r="A582" s="40" t="s">
        <v>616</v>
      </c>
      <c r="B582" s="40" t="s">
        <v>617</v>
      </c>
      <c r="C582" s="41">
        <v>46027</v>
      </c>
      <c r="D582" s="42" t="s">
        <v>476</v>
      </c>
      <c r="E582" s="42" t="s">
        <v>411</v>
      </c>
      <c r="F582" s="47">
        <v>2.06</v>
      </c>
      <c r="G582" s="44">
        <v>46381</v>
      </c>
      <c r="H582" s="45" t="e">
        <f t="shared" si="2"/>
        <v>#N/A</v>
      </c>
      <c r="I582" s="46">
        <v>46034.358032407406</v>
      </c>
      <c r="J582" s="40" t="s">
        <v>618</v>
      </c>
    </row>
    <row r="583" spans="1:10">
      <c r="A583" s="40" t="s">
        <v>616</v>
      </c>
      <c r="B583" s="40" t="s">
        <v>617</v>
      </c>
      <c r="C583" s="41">
        <v>45996</v>
      </c>
      <c r="D583" s="42" t="s">
        <v>476</v>
      </c>
      <c r="E583" s="42" t="s">
        <v>411</v>
      </c>
      <c r="F583" s="47">
        <v>2.81</v>
      </c>
      <c r="G583" s="44">
        <v>46351</v>
      </c>
      <c r="H583" s="45" t="e">
        <f t="shared" si="2"/>
        <v>#N/A</v>
      </c>
      <c r="I583" s="46">
        <v>46003.57403935185</v>
      </c>
      <c r="J583" s="40" t="s">
        <v>619</v>
      </c>
    </row>
    <row r="584" spans="1:10">
      <c r="A584" s="40" t="s">
        <v>616</v>
      </c>
      <c r="B584" s="40" t="s">
        <v>617</v>
      </c>
      <c r="C584" s="41">
        <v>45966</v>
      </c>
      <c r="D584" s="42" t="s">
        <v>476</v>
      </c>
      <c r="E584" s="42" t="s">
        <v>411</v>
      </c>
      <c r="F584" s="47">
        <v>2.35</v>
      </c>
      <c r="G584" s="44">
        <v>46320</v>
      </c>
      <c r="H584" s="45" t="e">
        <f t="shared" si="2"/>
        <v>#N/A</v>
      </c>
      <c r="I584" s="46">
        <v>45985.448483796295</v>
      </c>
      <c r="J584" s="40" t="s">
        <v>620</v>
      </c>
    </row>
    <row r="585" spans="1:10">
      <c r="A585" s="40" t="s">
        <v>616</v>
      </c>
      <c r="B585" s="40" t="s">
        <v>617</v>
      </c>
      <c r="C585" s="41">
        <v>45935</v>
      </c>
      <c r="D585" s="42" t="s">
        <v>476</v>
      </c>
      <c r="E585" s="42" t="s">
        <v>411</v>
      </c>
      <c r="F585" s="47">
        <v>2.33</v>
      </c>
      <c r="G585" s="44">
        <v>46290</v>
      </c>
      <c r="H585" s="45" t="e">
        <f t="shared" si="2"/>
        <v>#N/A</v>
      </c>
      <c r="I585" s="46">
        <v>45945.632280092592</v>
      </c>
    </row>
    <row r="586" spans="1:10">
      <c r="A586" s="40" t="s">
        <v>616</v>
      </c>
      <c r="B586" s="40" t="s">
        <v>617</v>
      </c>
      <c r="C586" s="41">
        <v>45905</v>
      </c>
      <c r="D586" s="42" t="s">
        <v>476</v>
      </c>
      <c r="E586" s="42" t="s">
        <v>411</v>
      </c>
      <c r="F586" s="47">
        <v>2.35</v>
      </c>
      <c r="G586" s="44">
        <v>46259</v>
      </c>
      <c r="H586" s="45" t="e">
        <f t="shared" si="2"/>
        <v>#N/A</v>
      </c>
      <c r="I586" s="46">
        <v>45945.632662037038</v>
      </c>
    </row>
    <row r="587" spans="1:10">
      <c r="A587" s="40" t="s">
        <v>616</v>
      </c>
      <c r="B587" s="40" t="s">
        <v>617</v>
      </c>
      <c r="C587" s="41">
        <v>45874</v>
      </c>
      <c r="D587" s="42" t="s">
        <v>476</v>
      </c>
      <c r="E587" s="42" t="s">
        <v>411</v>
      </c>
      <c r="F587" s="47">
        <v>2.54</v>
      </c>
      <c r="G587" s="44">
        <v>46228</v>
      </c>
      <c r="H587" s="45" t="e">
        <f t="shared" si="2"/>
        <v>#N/A</v>
      </c>
      <c r="I587" s="46">
        <v>45926.723171296297</v>
      </c>
      <c r="J587" s="40" t="s">
        <v>621</v>
      </c>
    </row>
    <row r="588" spans="1:10">
      <c r="A588" s="40" t="s">
        <v>616</v>
      </c>
      <c r="B588" s="40" t="s">
        <v>617</v>
      </c>
      <c r="C588" s="41">
        <v>45843</v>
      </c>
      <c r="D588" s="42" t="s">
        <v>476</v>
      </c>
      <c r="E588" s="42" t="s">
        <v>411</v>
      </c>
      <c r="F588" s="47">
        <v>2.11</v>
      </c>
      <c r="G588" s="44">
        <v>46198</v>
      </c>
      <c r="H588" s="45" t="e">
        <f t="shared" si="2"/>
        <v>#N/A</v>
      </c>
      <c r="I588" s="46">
        <v>45926.723171296297</v>
      </c>
      <c r="J588" s="40" t="s">
        <v>622</v>
      </c>
    </row>
    <row r="589" spans="1:10">
      <c r="A589" s="40" t="s">
        <v>616</v>
      </c>
      <c r="B589" s="40" t="s">
        <v>617</v>
      </c>
      <c r="C589" s="41">
        <v>45813</v>
      </c>
      <c r="D589" s="42" t="s">
        <v>476</v>
      </c>
      <c r="E589" s="42" t="s">
        <v>411</v>
      </c>
      <c r="F589" s="47">
        <v>2.4900000000000002</v>
      </c>
      <c r="G589" s="44">
        <v>46167</v>
      </c>
      <c r="H589" s="45" t="e">
        <f t="shared" si="2"/>
        <v>#N/A</v>
      </c>
      <c r="I589" s="46">
        <v>45926.723171296297</v>
      </c>
      <c r="J589" s="40" t="s">
        <v>623</v>
      </c>
    </row>
    <row r="590" spans="1:10">
      <c r="A590" s="40" t="s">
        <v>616</v>
      </c>
      <c r="B590" s="40" t="s">
        <v>617</v>
      </c>
      <c r="C590" s="41">
        <v>45782</v>
      </c>
      <c r="D590" s="42" t="s">
        <v>476</v>
      </c>
      <c r="E590" s="42" t="s">
        <v>411</v>
      </c>
      <c r="F590" s="47">
        <v>2.4300000000000002</v>
      </c>
      <c r="G590" s="44">
        <v>46137</v>
      </c>
      <c r="H590" s="45" t="e">
        <f t="shared" si="2"/>
        <v>#N/A</v>
      </c>
      <c r="I590" s="46">
        <v>45926.723171296297</v>
      </c>
      <c r="J590" s="40" t="s">
        <v>624</v>
      </c>
    </row>
    <row r="591" spans="1:10">
      <c r="A591" s="40" t="s">
        <v>616</v>
      </c>
      <c r="B591" s="40" t="s">
        <v>617</v>
      </c>
      <c r="C591" s="41">
        <v>45752</v>
      </c>
      <c r="D591" s="42" t="s">
        <v>476</v>
      </c>
      <c r="E591" s="42" t="s">
        <v>411</v>
      </c>
      <c r="F591" s="47">
        <v>2.7</v>
      </c>
      <c r="G591" s="44">
        <v>46106</v>
      </c>
      <c r="H591" s="45" t="e">
        <f t="shared" si="2"/>
        <v>#N/A</v>
      </c>
      <c r="I591" s="46">
        <v>45926.723171296297</v>
      </c>
      <c r="J591" s="40" t="s">
        <v>621</v>
      </c>
    </row>
    <row r="592" spans="1:10">
      <c r="A592" s="40" t="s">
        <v>616</v>
      </c>
      <c r="B592" s="40" t="s">
        <v>617</v>
      </c>
      <c r="C592" s="41">
        <v>45721</v>
      </c>
      <c r="D592" s="42" t="s">
        <v>476</v>
      </c>
      <c r="E592" s="42" t="s">
        <v>411</v>
      </c>
      <c r="F592" s="47">
        <v>2.57</v>
      </c>
      <c r="G592" s="44">
        <v>46078</v>
      </c>
      <c r="H592" s="45" t="e">
        <f t="shared" si="2"/>
        <v>#N/A</v>
      </c>
      <c r="I592" s="46">
        <v>45926.723171296297</v>
      </c>
      <c r="J592" s="40" t="s">
        <v>625</v>
      </c>
    </row>
    <row r="593" spans="1:10">
      <c r="A593" s="40" t="s">
        <v>616</v>
      </c>
      <c r="B593" s="40" t="s">
        <v>617</v>
      </c>
      <c r="C593" s="41">
        <v>45693</v>
      </c>
      <c r="D593" s="42" t="s">
        <v>476</v>
      </c>
      <c r="E593" s="42" t="s">
        <v>411</v>
      </c>
      <c r="F593" s="47">
        <v>2.54</v>
      </c>
      <c r="G593" s="44">
        <v>46047</v>
      </c>
      <c r="H593" s="45" t="e">
        <f t="shared" si="2"/>
        <v>#N/A</v>
      </c>
      <c r="I593" s="46">
        <v>45926.723171296297</v>
      </c>
      <c r="J593" s="40" t="s">
        <v>626</v>
      </c>
    </row>
    <row r="594" spans="1:10">
      <c r="A594" s="40" t="s">
        <v>627</v>
      </c>
      <c r="B594" s="40" t="s">
        <v>628</v>
      </c>
      <c r="C594" s="41">
        <v>46122</v>
      </c>
      <c r="D594" s="42" t="s">
        <v>559</v>
      </c>
      <c r="E594" s="42" t="s">
        <v>411</v>
      </c>
      <c r="F594" s="43"/>
      <c r="G594" s="44">
        <v>46107</v>
      </c>
      <c r="H594" s="45" t="e">
        <f t="shared" si="2"/>
        <v>#N/A</v>
      </c>
      <c r="I594" s="46"/>
    </row>
    <row r="595" spans="1:10">
      <c r="A595" s="40" t="s">
        <v>627</v>
      </c>
      <c r="B595" s="40" t="s">
        <v>628</v>
      </c>
      <c r="C595" s="41">
        <v>46091</v>
      </c>
      <c r="D595" s="42" t="s">
        <v>559</v>
      </c>
      <c r="E595" s="42" t="s">
        <v>411</v>
      </c>
      <c r="F595" s="43"/>
      <c r="G595" s="44">
        <v>46079</v>
      </c>
      <c r="H595" s="45" t="e">
        <f t="shared" si="2"/>
        <v>#N/A</v>
      </c>
      <c r="I595" s="43"/>
    </row>
    <row r="596" spans="1:10">
      <c r="A596" s="40" t="s">
        <v>627</v>
      </c>
      <c r="B596" s="40" t="s">
        <v>628</v>
      </c>
      <c r="C596" s="41">
        <v>46063</v>
      </c>
      <c r="D596" s="42" t="s">
        <v>559</v>
      </c>
      <c r="E596" s="42" t="s">
        <v>411</v>
      </c>
      <c r="F596" s="47">
        <v>2</v>
      </c>
      <c r="G596" s="44">
        <v>46048</v>
      </c>
      <c r="H596" s="45" t="e">
        <f t="shared" si="2"/>
        <v>#N/A</v>
      </c>
      <c r="I596" s="46">
        <v>46064.746215277781</v>
      </c>
      <c r="J596" s="40" t="s">
        <v>629</v>
      </c>
    </row>
    <row r="597" spans="1:10">
      <c r="A597" s="40" t="s">
        <v>630</v>
      </c>
      <c r="B597" s="40" t="s">
        <v>631</v>
      </c>
      <c r="C597" s="41">
        <v>46117</v>
      </c>
      <c r="D597" s="42" t="s">
        <v>476</v>
      </c>
      <c r="E597" s="42" t="s">
        <v>411</v>
      </c>
      <c r="F597" s="43"/>
      <c r="G597" s="44">
        <v>46107</v>
      </c>
      <c r="H597" s="45" t="e">
        <f t="shared" si="2"/>
        <v>#N/A</v>
      </c>
      <c r="I597" s="46"/>
    </row>
    <row r="598" spans="1:10">
      <c r="A598" s="40" t="s">
        <v>630</v>
      </c>
      <c r="B598" s="40" t="s">
        <v>631</v>
      </c>
      <c r="C598" s="41">
        <v>46086</v>
      </c>
      <c r="D598" s="42" t="s">
        <v>476</v>
      </c>
      <c r="E598" s="42" t="s">
        <v>411</v>
      </c>
      <c r="F598" s="43"/>
      <c r="G598" s="44">
        <v>46079</v>
      </c>
      <c r="H598" s="45" t="e">
        <f t="shared" si="2"/>
        <v>#N/A</v>
      </c>
      <c r="I598" s="43"/>
    </row>
    <row r="599" spans="1:10">
      <c r="A599" s="40" t="s">
        <v>630</v>
      </c>
      <c r="B599" s="40" t="s">
        <v>631</v>
      </c>
      <c r="C599" s="41">
        <v>46058</v>
      </c>
      <c r="D599" s="42" t="s">
        <v>476</v>
      </c>
      <c r="E599" s="42" t="s">
        <v>411</v>
      </c>
      <c r="F599" s="47">
        <v>90.91</v>
      </c>
      <c r="G599" s="44">
        <v>46048</v>
      </c>
      <c r="H599" s="45" t="e">
        <f t="shared" si="2"/>
        <v>#N/A</v>
      </c>
      <c r="I599" s="46">
        <v>46059.397152777776</v>
      </c>
      <c r="J599" s="40" t="s">
        <v>632</v>
      </c>
    </row>
    <row r="600" spans="1:10">
      <c r="A600" s="40" t="s">
        <v>630</v>
      </c>
      <c r="B600" s="40" t="s">
        <v>631</v>
      </c>
      <c r="C600" s="41">
        <v>46027</v>
      </c>
      <c r="D600" s="42" t="s">
        <v>476</v>
      </c>
      <c r="E600" s="42" t="s">
        <v>411</v>
      </c>
      <c r="F600" s="47">
        <v>85.71</v>
      </c>
      <c r="G600" s="44">
        <v>46381</v>
      </c>
      <c r="H600" s="45" t="e">
        <f t="shared" si="2"/>
        <v>#N/A</v>
      </c>
      <c r="I600" s="46">
        <v>46059.413634259261</v>
      </c>
      <c r="J600" s="40" t="s">
        <v>633</v>
      </c>
    </row>
    <row r="601" spans="1:10">
      <c r="A601" s="40" t="s">
        <v>634</v>
      </c>
      <c r="B601" s="40" t="s">
        <v>635</v>
      </c>
      <c r="C601" s="41">
        <v>46122</v>
      </c>
      <c r="D601" s="42" t="s">
        <v>559</v>
      </c>
      <c r="E601" s="42" t="s">
        <v>411</v>
      </c>
      <c r="F601" s="43"/>
      <c r="G601" s="44">
        <v>46107</v>
      </c>
      <c r="H601" s="45" t="e">
        <f t="shared" si="2"/>
        <v>#N/A</v>
      </c>
      <c r="I601" s="43"/>
    </row>
    <row r="602" spans="1:10">
      <c r="A602" s="40" t="s">
        <v>634</v>
      </c>
      <c r="B602" s="40" t="s">
        <v>635</v>
      </c>
      <c r="C602" s="41">
        <v>46091</v>
      </c>
      <c r="D602" s="42" t="s">
        <v>559</v>
      </c>
      <c r="E602" s="42" t="s">
        <v>411</v>
      </c>
      <c r="F602" s="43"/>
      <c r="G602" s="44">
        <v>46079</v>
      </c>
      <c r="H602" s="45" t="e">
        <f t="shared" si="2"/>
        <v>#N/A</v>
      </c>
      <c r="I602" s="43"/>
    </row>
    <row r="603" spans="1:10">
      <c r="A603" s="40" t="s">
        <v>636</v>
      </c>
      <c r="B603" s="40" t="s">
        <v>637</v>
      </c>
      <c r="C603" s="41">
        <v>46117</v>
      </c>
      <c r="D603" s="42" t="s">
        <v>476</v>
      </c>
      <c r="E603" s="42" t="s">
        <v>411</v>
      </c>
      <c r="F603" s="43"/>
      <c r="G603" s="44">
        <v>46107</v>
      </c>
      <c r="H603" s="45" t="e">
        <f t="shared" si="2"/>
        <v>#N/A</v>
      </c>
      <c r="I603" s="46"/>
    </row>
    <row r="604" spans="1:10">
      <c r="A604" s="40" t="s">
        <v>636</v>
      </c>
      <c r="B604" s="40" t="s">
        <v>637</v>
      </c>
      <c r="C604" s="41">
        <v>46086</v>
      </c>
      <c r="D604" s="42" t="s">
        <v>476</v>
      </c>
      <c r="E604" s="42" t="s">
        <v>411</v>
      </c>
      <c r="F604" s="43"/>
      <c r="G604" s="44">
        <v>46079</v>
      </c>
      <c r="H604" s="45" t="e">
        <f t="shared" si="2"/>
        <v>#N/A</v>
      </c>
      <c r="I604" s="43"/>
    </row>
    <row r="605" spans="1:10">
      <c r="A605" s="40" t="s">
        <v>636</v>
      </c>
      <c r="B605" s="40" t="s">
        <v>637</v>
      </c>
      <c r="C605" s="41">
        <v>46058</v>
      </c>
      <c r="D605" s="42" t="s">
        <v>476</v>
      </c>
      <c r="E605" s="42" t="s">
        <v>411</v>
      </c>
      <c r="F605" s="47">
        <v>100</v>
      </c>
      <c r="G605" s="44">
        <v>46048</v>
      </c>
      <c r="H605" s="45" t="e">
        <f t="shared" si="2"/>
        <v>#N/A</v>
      </c>
      <c r="I605" s="46">
        <v>46059.693657407406</v>
      </c>
    </row>
    <row r="606" spans="1:10">
      <c r="A606" s="40" t="s">
        <v>636</v>
      </c>
      <c r="B606" s="40" t="s">
        <v>637</v>
      </c>
      <c r="C606" s="41">
        <v>46027</v>
      </c>
      <c r="D606" s="42" t="s">
        <v>476</v>
      </c>
      <c r="E606" s="42" t="s">
        <v>411</v>
      </c>
      <c r="F606" s="47">
        <v>40</v>
      </c>
      <c r="G606" s="44">
        <v>46381</v>
      </c>
      <c r="H606" s="45" t="e">
        <f t="shared" si="2"/>
        <v>#N/A</v>
      </c>
      <c r="I606" s="46">
        <v>46059.692812499998</v>
      </c>
    </row>
    <row r="607" spans="1:10">
      <c r="A607" s="40" t="s">
        <v>636</v>
      </c>
      <c r="B607" s="40" t="s">
        <v>637</v>
      </c>
      <c r="C607" s="41">
        <v>45996</v>
      </c>
      <c r="D607" s="42" t="s">
        <v>476</v>
      </c>
      <c r="E607" s="42" t="s">
        <v>411</v>
      </c>
      <c r="F607" s="47">
        <v>75</v>
      </c>
      <c r="G607" s="44">
        <v>46351</v>
      </c>
      <c r="H607" s="45" t="e">
        <f t="shared" si="2"/>
        <v>#N/A</v>
      </c>
      <c r="I607" s="46">
        <v>46059.691388888888</v>
      </c>
    </row>
    <row r="608" spans="1:10">
      <c r="A608" s="40" t="s">
        <v>636</v>
      </c>
      <c r="B608" s="40" t="s">
        <v>637</v>
      </c>
      <c r="C608" s="41">
        <v>45966</v>
      </c>
      <c r="D608" s="42" t="s">
        <v>476</v>
      </c>
      <c r="E608" s="42" t="s">
        <v>411</v>
      </c>
      <c r="F608" s="47">
        <v>50</v>
      </c>
      <c r="G608" s="44">
        <v>46320</v>
      </c>
      <c r="H608" s="45" t="e">
        <f t="shared" si="2"/>
        <v>#N/A</v>
      </c>
      <c r="I608" s="46">
        <v>46059.690555555557</v>
      </c>
    </row>
    <row r="609" spans="1:10">
      <c r="A609" s="40" t="s">
        <v>636</v>
      </c>
      <c r="B609" s="40" t="s">
        <v>637</v>
      </c>
      <c r="C609" s="41">
        <v>45935</v>
      </c>
      <c r="D609" s="42" t="s">
        <v>476</v>
      </c>
      <c r="E609" s="42" t="s">
        <v>411</v>
      </c>
      <c r="F609" s="47">
        <v>90.91</v>
      </c>
      <c r="G609" s="44">
        <v>46290</v>
      </c>
      <c r="H609" s="45" t="e">
        <f t="shared" si="2"/>
        <v>#N/A</v>
      </c>
      <c r="I609" s="46">
        <v>46059.68953703704</v>
      </c>
    </row>
    <row r="610" spans="1:10">
      <c r="A610" s="40" t="s">
        <v>636</v>
      </c>
      <c r="B610" s="40" t="s">
        <v>637</v>
      </c>
      <c r="C610" s="41">
        <v>45905</v>
      </c>
      <c r="D610" s="42" t="s">
        <v>476</v>
      </c>
      <c r="E610" s="42" t="s">
        <v>411</v>
      </c>
      <c r="F610" s="47">
        <v>70</v>
      </c>
      <c r="G610" s="44">
        <v>46259</v>
      </c>
      <c r="H610" s="45" t="e">
        <f t="shared" si="2"/>
        <v>#N/A</v>
      </c>
      <c r="I610" s="46">
        <v>46059.687789351854</v>
      </c>
    </row>
    <row r="611" spans="1:10">
      <c r="A611" s="40" t="s">
        <v>638</v>
      </c>
      <c r="B611" s="40" t="s">
        <v>639</v>
      </c>
      <c r="C611" s="41">
        <v>46117</v>
      </c>
      <c r="D611" s="42" t="s">
        <v>559</v>
      </c>
      <c r="E611" s="42" t="s">
        <v>411</v>
      </c>
      <c r="F611" s="43"/>
      <c r="G611" s="44">
        <v>46107</v>
      </c>
      <c r="H611" s="45" t="e">
        <f t="shared" si="2"/>
        <v>#N/A</v>
      </c>
      <c r="I611" s="43"/>
    </row>
    <row r="612" spans="1:10">
      <c r="A612" s="40" t="s">
        <v>638</v>
      </c>
      <c r="B612" s="40" t="s">
        <v>639</v>
      </c>
      <c r="C612" s="41">
        <v>46086</v>
      </c>
      <c r="D612" s="42" t="s">
        <v>559</v>
      </c>
      <c r="E612" s="42" t="s">
        <v>411</v>
      </c>
      <c r="F612" s="43"/>
      <c r="G612" s="44">
        <v>46079</v>
      </c>
      <c r="H612" s="45" t="e">
        <f t="shared" si="2"/>
        <v>#N/A</v>
      </c>
      <c r="I612" s="43"/>
    </row>
    <row r="613" spans="1:10">
      <c r="A613" s="40" t="s">
        <v>640</v>
      </c>
      <c r="B613" s="40" t="s">
        <v>641</v>
      </c>
      <c r="C613" s="41">
        <v>46122</v>
      </c>
      <c r="D613" s="42" t="s">
        <v>476</v>
      </c>
      <c r="E613" s="42" t="s">
        <v>411</v>
      </c>
      <c r="F613" s="43"/>
      <c r="G613" s="44">
        <v>46107</v>
      </c>
      <c r="H613" s="45" t="e">
        <f t="shared" si="2"/>
        <v>#N/A</v>
      </c>
      <c r="I613" s="46"/>
    </row>
    <row r="614" spans="1:10">
      <c r="A614" s="40" t="s">
        <v>640</v>
      </c>
      <c r="B614" s="40" t="s">
        <v>641</v>
      </c>
      <c r="C614" s="41">
        <v>46091</v>
      </c>
      <c r="D614" s="42" t="s">
        <v>476</v>
      </c>
      <c r="E614" s="42" t="s">
        <v>411</v>
      </c>
      <c r="F614" s="43"/>
      <c r="G614" s="44">
        <v>46079</v>
      </c>
      <c r="H614" s="45" t="e">
        <f t="shared" si="2"/>
        <v>#N/A</v>
      </c>
      <c r="I614" s="43"/>
    </row>
    <row r="615" spans="1:10">
      <c r="A615" s="40" t="s">
        <v>640</v>
      </c>
      <c r="B615" s="40" t="s">
        <v>641</v>
      </c>
      <c r="C615" s="41">
        <v>46063</v>
      </c>
      <c r="D615" s="42" t="s">
        <v>476</v>
      </c>
      <c r="E615" s="42" t="s">
        <v>411</v>
      </c>
      <c r="F615" s="47">
        <v>48.37</v>
      </c>
      <c r="G615" s="44">
        <v>46048</v>
      </c>
      <c r="H615" s="45" t="e">
        <f t="shared" si="2"/>
        <v>#N/A</v>
      </c>
      <c r="I615" s="46">
        <v>46062.387673611112</v>
      </c>
      <c r="J615" s="40" t="s">
        <v>642</v>
      </c>
    </row>
    <row r="616" spans="1:10">
      <c r="A616" s="40" t="s">
        <v>640</v>
      </c>
      <c r="B616" s="40" t="s">
        <v>641</v>
      </c>
      <c r="C616" s="41">
        <v>46032</v>
      </c>
      <c r="D616" s="42" t="s">
        <v>476</v>
      </c>
      <c r="E616" s="42" t="s">
        <v>411</v>
      </c>
      <c r="F616" s="43"/>
      <c r="G616" s="44">
        <v>46381</v>
      </c>
      <c r="H616" s="45" t="e">
        <f t="shared" si="2"/>
        <v>#N/A</v>
      </c>
      <c r="I616" s="43"/>
    </row>
    <row r="617" spans="1:10">
      <c r="A617" s="40" t="s">
        <v>640</v>
      </c>
      <c r="B617" s="40" t="s">
        <v>641</v>
      </c>
      <c r="C617" s="41">
        <v>46001</v>
      </c>
      <c r="D617" s="42" t="s">
        <v>476</v>
      </c>
      <c r="E617" s="42" t="s">
        <v>411</v>
      </c>
      <c r="F617" s="43"/>
      <c r="G617" s="44">
        <v>46351</v>
      </c>
      <c r="H617" s="45" t="e">
        <f t="shared" si="2"/>
        <v>#N/A</v>
      </c>
      <c r="I617" s="43"/>
    </row>
    <row r="618" spans="1:10">
      <c r="A618" s="40" t="s">
        <v>640</v>
      </c>
      <c r="B618" s="40" t="s">
        <v>641</v>
      </c>
      <c r="C618" s="41">
        <v>45971</v>
      </c>
      <c r="D618" s="42" t="s">
        <v>476</v>
      </c>
      <c r="E618" s="42" t="s">
        <v>411</v>
      </c>
      <c r="F618" s="43"/>
      <c r="G618" s="44">
        <v>46320</v>
      </c>
      <c r="H618" s="45" t="e">
        <f t="shared" si="2"/>
        <v>#N/A</v>
      </c>
      <c r="I618" s="43"/>
    </row>
    <row r="619" spans="1:10">
      <c r="A619" s="40" t="s">
        <v>640</v>
      </c>
      <c r="B619" s="40" t="s">
        <v>641</v>
      </c>
      <c r="C619" s="41">
        <v>45940</v>
      </c>
      <c r="D619" s="42" t="s">
        <v>476</v>
      </c>
      <c r="E619" s="42" t="s">
        <v>411</v>
      </c>
      <c r="F619" s="43"/>
      <c r="G619" s="44">
        <v>46290</v>
      </c>
      <c r="H619" s="45" t="e">
        <f t="shared" si="2"/>
        <v>#N/A</v>
      </c>
      <c r="I619" s="43"/>
    </row>
    <row r="620" spans="1:10">
      <c r="A620" s="40" t="s">
        <v>640</v>
      </c>
      <c r="B620" s="40" t="s">
        <v>641</v>
      </c>
      <c r="C620" s="41">
        <v>45910</v>
      </c>
      <c r="D620" s="42" t="s">
        <v>476</v>
      </c>
      <c r="E620" s="42" t="s">
        <v>411</v>
      </c>
      <c r="F620" s="43"/>
      <c r="G620" s="44">
        <v>46259</v>
      </c>
      <c r="H620" s="45" t="e">
        <f t="shared" si="2"/>
        <v>#N/A</v>
      </c>
      <c r="I620" s="43"/>
    </row>
    <row r="621" spans="1:10">
      <c r="A621" s="40" t="s">
        <v>643</v>
      </c>
      <c r="B621" s="40" t="s">
        <v>644</v>
      </c>
      <c r="C621" s="41">
        <v>46122</v>
      </c>
      <c r="D621" s="42" t="s">
        <v>476</v>
      </c>
      <c r="E621" s="42" t="s">
        <v>411</v>
      </c>
      <c r="F621" s="43"/>
      <c r="G621" s="44">
        <v>46107</v>
      </c>
      <c r="H621" s="45" t="e">
        <f t="shared" si="2"/>
        <v>#N/A</v>
      </c>
      <c r="I621" s="46"/>
    </row>
    <row r="622" spans="1:10">
      <c r="A622" s="40" t="s">
        <v>643</v>
      </c>
      <c r="B622" s="40" t="s">
        <v>644</v>
      </c>
      <c r="C622" s="41">
        <v>46091</v>
      </c>
      <c r="D622" s="42" t="s">
        <v>476</v>
      </c>
      <c r="E622" s="42" t="s">
        <v>411</v>
      </c>
      <c r="F622" s="43"/>
      <c r="G622" s="44">
        <v>46079</v>
      </c>
      <c r="H622" s="45" t="e">
        <f t="shared" si="2"/>
        <v>#N/A</v>
      </c>
      <c r="I622" s="43"/>
    </row>
    <row r="623" spans="1:10">
      <c r="A623" s="40" t="s">
        <v>643</v>
      </c>
      <c r="B623" s="40" t="s">
        <v>644</v>
      </c>
      <c r="C623" s="41">
        <v>46063</v>
      </c>
      <c r="D623" s="42" t="s">
        <v>476</v>
      </c>
      <c r="E623" s="42" t="s">
        <v>411</v>
      </c>
      <c r="F623" s="47">
        <v>89.19</v>
      </c>
      <c r="G623" s="44">
        <v>46048</v>
      </c>
      <c r="H623" s="45" t="e">
        <f t="shared" si="2"/>
        <v>#N/A</v>
      </c>
      <c r="I623" s="46">
        <v>46057.358738425923</v>
      </c>
    </row>
    <row r="624" spans="1:10">
      <c r="A624" s="40" t="s">
        <v>643</v>
      </c>
      <c r="B624" s="40" t="s">
        <v>644</v>
      </c>
      <c r="C624" s="41">
        <v>46032</v>
      </c>
      <c r="D624" s="42" t="s">
        <v>476</v>
      </c>
      <c r="E624" s="42" t="s">
        <v>411</v>
      </c>
      <c r="F624" s="47">
        <v>90.03</v>
      </c>
      <c r="G624" s="44">
        <v>46381</v>
      </c>
      <c r="H624" s="45" t="e">
        <f t="shared" si="2"/>
        <v>#N/A</v>
      </c>
      <c r="I624" s="46">
        <v>46030.440162037034</v>
      </c>
    </row>
    <row r="625" spans="1:10">
      <c r="A625" s="40" t="s">
        <v>643</v>
      </c>
      <c r="B625" s="40" t="s">
        <v>644</v>
      </c>
      <c r="C625" s="41">
        <v>46001</v>
      </c>
      <c r="D625" s="42" t="s">
        <v>476</v>
      </c>
      <c r="E625" s="42" t="s">
        <v>411</v>
      </c>
      <c r="F625" s="47">
        <v>92.2</v>
      </c>
      <c r="G625" s="44">
        <v>46351</v>
      </c>
      <c r="H625" s="45" t="e">
        <f t="shared" si="2"/>
        <v>#N/A</v>
      </c>
      <c r="I625" s="46">
        <v>45996.376238425924</v>
      </c>
    </row>
    <row r="626" spans="1:10">
      <c r="A626" s="40" t="s">
        <v>643</v>
      </c>
      <c r="B626" s="40" t="s">
        <v>644</v>
      </c>
      <c r="C626" s="41">
        <v>45971</v>
      </c>
      <c r="D626" s="42" t="s">
        <v>476</v>
      </c>
      <c r="E626" s="42" t="s">
        <v>411</v>
      </c>
      <c r="F626" s="47">
        <v>90</v>
      </c>
      <c r="G626" s="44">
        <v>46320</v>
      </c>
      <c r="H626" s="45" t="e">
        <f t="shared" si="2"/>
        <v>#N/A</v>
      </c>
      <c r="I626" s="46">
        <v>45973.448078703703</v>
      </c>
    </row>
    <row r="627" spans="1:10">
      <c r="A627" s="40" t="s">
        <v>643</v>
      </c>
      <c r="B627" s="40" t="s">
        <v>644</v>
      </c>
      <c r="C627" s="41">
        <v>45940</v>
      </c>
      <c r="D627" s="42" t="s">
        <v>476</v>
      </c>
      <c r="E627" s="42" t="s">
        <v>411</v>
      </c>
      <c r="F627" s="47">
        <v>86</v>
      </c>
      <c r="G627" s="44">
        <v>46290</v>
      </c>
      <c r="H627" s="45" t="e">
        <f t="shared" si="2"/>
        <v>#N/A</v>
      </c>
      <c r="I627" s="46">
        <v>45933.440312500003</v>
      </c>
    </row>
    <row r="628" spans="1:10">
      <c r="A628" s="40" t="s">
        <v>643</v>
      </c>
      <c r="B628" s="40" t="s">
        <v>644</v>
      </c>
      <c r="C628" s="41">
        <v>45910</v>
      </c>
      <c r="D628" s="42" t="s">
        <v>476</v>
      </c>
      <c r="E628" s="42" t="s">
        <v>411</v>
      </c>
      <c r="F628" s="47">
        <v>86.11</v>
      </c>
      <c r="G628" s="44">
        <v>46259</v>
      </c>
      <c r="H628" s="45" t="e">
        <f t="shared" si="2"/>
        <v>#N/A</v>
      </c>
      <c r="I628" s="46">
        <v>45936.649340277778</v>
      </c>
    </row>
    <row r="629" spans="1:10">
      <c r="A629" s="40" t="s">
        <v>643</v>
      </c>
      <c r="B629" s="40" t="s">
        <v>644</v>
      </c>
      <c r="C629" s="41">
        <v>45879</v>
      </c>
      <c r="D629" s="42" t="s">
        <v>476</v>
      </c>
      <c r="E629" s="42" t="s">
        <v>411</v>
      </c>
      <c r="F629" s="47">
        <v>86</v>
      </c>
      <c r="G629" s="44">
        <v>46228</v>
      </c>
      <c r="H629" s="45" t="e">
        <f t="shared" si="2"/>
        <v>#N/A</v>
      </c>
      <c r="I629" s="46">
        <v>45936.649340277778</v>
      </c>
    </row>
    <row r="630" spans="1:10">
      <c r="A630" s="40" t="s">
        <v>643</v>
      </c>
      <c r="B630" s="40" t="s">
        <v>644</v>
      </c>
      <c r="C630" s="41">
        <v>45848</v>
      </c>
      <c r="D630" s="42" t="s">
        <v>476</v>
      </c>
      <c r="E630" s="42" t="s">
        <v>411</v>
      </c>
      <c r="F630" s="47">
        <v>88</v>
      </c>
      <c r="G630" s="44">
        <v>46198</v>
      </c>
      <c r="H630" s="45" t="e">
        <f t="shared" si="2"/>
        <v>#N/A</v>
      </c>
      <c r="I630" s="46">
        <v>45936.649340277778</v>
      </c>
    </row>
    <row r="631" spans="1:10">
      <c r="A631" s="40" t="s">
        <v>643</v>
      </c>
      <c r="B631" s="40" t="s">
        <v>644</v>
      </c>
      <c r="C631" s="41">
        <v>45818</v>
      </c>
      <c r="D631" s="42" t="s">
        <v>476</v>
      </c>
      <c r="E631" s="42" t="s">
        <v>411</v>
      </c>
      <c r="F631" s="47">
        <v>79.45</v>
      </c>
      <c r="G631" s="44">
        <v>46167</v>
      </c>
      <c r="H631" s="45" t="e">
        <f t="shared" si="2"/>
        <v>#N/A</v>
      </c>
      <c r="I631" s="46">
        <v>45936.649340277778</v>
      </c>
    </row>
    <row r="632" spans="1:10">
      <c r="A632" s="40" t="s">
        <v>643</v>
      </c>
      <c r="B632" s="40" t="s">
        <v>644</v>
      </c>
      <c r="C632" s="41">
        <v>45787</v>
      </c>
      <c r="D632" s="42" t="s">
        <v>476</v>
      </c>
      <c r="E632" s="42" t="s">
        <v>411</v>
      </c>
      <c r="F632" s="47">
        <v>84</v>
      </c>
      <c r="G632" s="44">
        <v>46137</v>
      </c>
      <c r="H632" s="45" t="e">
        <f t="shared" si="2"/>
        <v>#N/A</v>
      </c>
      <c r="I632" s="46">
        <v>45936.649340277778</v>
      </c>
    </row>
    <row r="633" spans="1:10">
      <c r="A633" s="40" t="s">
        <v>643</v>
      </c>
      <c r="B633" s="40" t="s">
        <v>644</v>
      </c>
      <c r="C633" s="41">
        <v>45757</v>
      </c>
      <c r="D633" s="42" t="s">
        <v>476</v>
      </c>
      <c r="E633" s="42" t="s">
        <v>411</v>
      </c>
      <c r="F633" s="47">
        <v>80</v>
      </c>
      <c r="G633" s="44">
        <v>46106</v>
      </c>
      <c r="H633" s="45" t="e">
        <f t="shared" si="2"/>
        <v>#N/A</v>
      </c>
      <c r="I633" s="46">
        <v>45936.649340277778</v>
      </c>
    </row>
    <row r="634" spans="1:10">
      <c r="A634" s="40" t="s">
        <v>643</v>
      </c>
      <c r="B634" s="40" t="s">
        <v>644</v>
      </c>
      <c r="C634" s="41">
        <v>45726</v>
      </c>
      <c r="D634" s="42" t="s">
        <v>476</v>
      </c>
      <c r="E634" s="42" t="s">
        <v>411</v>
      </c>
      <c r="F634" s="47">
        <v>79</v>
      </c>
      <c r="G634" s="44">
        <v>46078</v>
      </c>
      <c r="H634" s="45" t="e">
        <f t="shared" si="2"/>
        <v>#N/A</v>
      </c>
      <c r="I634" s="46">
        <v>45936.649340277778</v>
      </c>
    </row>
    <row r="635" spans="1:10">
      <c r="A635" s="40" t="s">
        <v>643</v>
      </c>
      <c r="B635" s="40" t="s">
        <v>644</v>
      </c>
      <c r="C635" s="41">
        <v>45698</v>
      </c>
      <c r="D635" s="42" t="s">
        <v>476</v>
      </c>
      <c r="E635" s="42" t="s">
        <v>411</v>
      </c>
      <c r="F635" s="47">
        <v>63</v>
      </c>
      <c r="G635" s="44">
        <v>46047</v>
      </c>
      <c r="H635" s="45" t="e">
        <f t="shared" si="2"/>
        <v>#N/A</v>
      </c>
      <c r="I635" s="46">
        <v>45936.649340277778</v>
      </c>
    </row>
    <row r="636" spans="1:10">
      <c r="A636" s="40" t="s">
        <v>645</v>
      </c>
      <c r="B636" s="40" t="s">
        <v>646</v>
      </c>
      <c r="C636" s="41">
        <v>46122</v>
      </c>
      <c r="D636" s="42" t="s">
        <v>410</v>
      </c>
      <c r="E636" s="42" t="s">
        <v>411</v>
      </c>
      <c r="F636" s="43"/>
      <c r="G636" s="44">
        <v>46107</v>
      </c>
      <c r="H636" s="45" t="e">
        <f t="shared" si="2"/>
        <v>#N/A</v>
      </c>
      <c r="I636" s="46"/>
    </row>
    <row r="637" spans="1:10">
      <c r="A637" s="40" t="s">
        <v>645</v>
      </c>
      <c r="B637" s="40" t="s">
        <v>646</v>
      </c>
      <c r="C637" s="41">
        <v>46091</v>
      </c>
      <c r="D637" s="42" t="s">
        <v>410</v>
      </c>
      <c r="E637" s="42" t="s">
        <v>411</v>
      </c>
      <c r="F637" s="43"/>
      <c r="G637" s="44">
        <v>46079</v>
      </c>
      <c r="H637" s="45" t="e">
        <f t="shared" si="2"/>
        <v>#N/A</v>
      </c>
      <c r="I637" s="43"/>
    </row>
    <row r="638" spans="1:10">
      <c r="A638" s="40" t="s">
        <v>645</v>
      </c>
      <c r="B638" s="40" t="s">
        <v>646</v>
      </c>
      <c r="C638" s="41">
        <v>46063</v>
      </c>
      <c r="D638" s="42" t="s">
        <v>410</v>
      </c>
      <c r="E638" s="42" t="s">
        <v>411</v>
      </c>
      <c r="F638" s="47">
        <v>6571675.04</v>
      </c>
      <c r="G638" s="44">
        <v>46048</v>
      </c>
      <c r="H638" s="45" t="e">
        <f t="shared" si="2"/>
        <v>#N/A</v>
      </c>
      <c r="I638" s="46">
        <v>46063.647418981483</v>
      </c>
      <c r="J638" s="40" t="s">
        <v>647</v>
      </c>
    </row>
    <row r="639" spans="1:10">
      <c r="A639" s="40" t="s">
        <v>645</v>
      </c>
      <c r="B639" s="40" t="s">
        <v>646</v>
      </c>
      <c r="C639" s="41">
        <v>46032</v>
      </c>
      <c r="D639" s="42" t="s">
        <v>410</v>
      </c>
      <c r="E639" s="42" t="s">
        <v>411</v>
      </c>
      <c r="F639" s="47">
        <v>3107119.7</v>
      </c>
      <c r="G639" s="44">
        <v>46381</v>
      </c>
      <c r="H639" s="45" t="e">
        <f t="shared" si="2"/>
        <v>#N/A</v>
      </c>
      <c r="I639" s="46">
        <v>46037.699652777781</v>
      </c>
    </row>
    <row r="640" spans="1:10">
      <c r="A640" s="40" t="s">
        <v>645</v>
      </c>
      <c r="B640" s="40" t="s">
        <v>646</v>
      </c>
      <c r="C640" s="41">
        <v>46001</v>
      </c>
      <c r="D640" s="42" t="s">
        <v>410</v>
      </c>
      <c r="E640" s="42" t="s">
        <v>411</v>
      </c>
      <c r="F640" s="47">
        <v>140356.1</v>
      </c>
      <c r="G640" s="44">
        <v>46351</v>
      </c>
      <c r="H640" s="45" t="e">
        <f t="shared" si="2"/>
        <v>#N/A</v>
      </c>
      <c r="I640" s="46">
        <v>45999.733483796299</v>
      </c>
    </row>
    <row r="641" spans="1:10">
      <c r="A641" s="40" t="s">
        <v>645</v>
      </c>
      <c r="B641" s="40" t="s">
        <v>646</v>
      </c>
      <c r="C641" s="41">
        <v>45971</v>
      </c>
      <c r="D641" s="42" t="s">
        <v>410</v>
      </c>
      <c r="E641" s="42" t="s">
        <v>411</v>
      </c>
      <c r="F641" s="47">
        <v>1304675.75</v>
      </c>
      <c r="G641" s="44">
        <v>46320</v>
      </c>
      <c r="H641" s="45" t="e">
        <f t="shared" si="2"/>
        <v>#N/A</v>
      </c>
      <c r="I641" s="46">
        <v>45975.364999999998</v>
      </c>
      <c r="J641" s="40" t="s">
        <v>648</v>
      </c>
    </row>
    <row r="642" spans="1:10">
      <c r="A642" s="40" t="s">
        <v>645</v>
      </c>
      <c r="B642" s="40" t="s">
        <v>646</v>
      </c>
      <c r="C642" s="41">
        <v>45940</v>
      </c>
      <c r="D642" s="42" t="s">
        <v>410</v>
      </c>
      <c r="E642" s="42" t="s">
        <v>411</v>
      </c>
      <c r="F642" s="47">
        <v>401283.69</v>
      </c>
      <c r="G642" s="44">
        <v>46290</v>
      </c>
      <c r="H642" s="45" t="e">
        <f t="shared" si="2"/>
        <v>#N/A</v>
      </c>
      <c r="I642" s="46">
        <v>45946.57099537037</v>
      </c>
      <c r="J642" s="40" t="s">
        <v>649</v>
      </c>
    </row>
    <row r="643" spans="1:10">
      <c r="A643" s="40" t="s">
        <v>645</v>
      </c>
      <c r="B643" s="40" t="s">
        <v>646</v>
      </c>
      <c r="C643" s="41">
        <v>45910</v>
      </c>
      <c r="D643" s="42" t="s">
        <v>410</v>
      </c>
      <c r="E643" s="42" t="s">
        <v>411</v>
      </c>
      <c r="F643" s="47">
        <v>830740.94</v>
      </c>
      <c r="G643" s="44">
        <v>46259</v>
      </c>
      <c r="H643" s="45" t="e">
        <f t="shared" si="2"/>
        <v>#N/A</v>
      </c>
      <c r="I643" s="46">
        <v>45946.570648148147</v>
      </c>
      <c r="J643" s="40" t="s">
        <v>650</v>
      </c>
    </row>
    <row r="644" spans="1:10">
      <c r="A644" s="40" t="s">
        <v>645</v>
      </c>
      <c r="B644" s="40" t="s">
        <v>646</v>
      </c>
      <c r="C644" s="41">
        <v>45879</v>
      </c>
      <c r="D644" s="42" t="s">
        <v>410</v>
      </c>
      <c r="E644" s="42" t="s">
        <v>411</v>
      </c>
      <c r="F644" s="47">
        <v>2772602.26</v>
      </c>
      <c r="G644" s="44">
        <v>46228</v>
      </c>
      <c r="H644" s="45" t="e">
        <f t="shared" si="2"/>
        <v>#N/A</v>
      </c>
      <c r="I644" s="46">
        <v>45946.563576388886</v>
      </c>
      <c r="J644" s="40" t="s">
        <v>651</v>
      </c>
    </row>
    <row r="645" spans="1:10">
      <c r="A645" s="40" t="s">
        <v>645</v>
      </c>
      <c r="B645" s="40" t="s">
        <v>646</v>
      </c>
      <c r="C645" s="41">
        <v>45848</v>
      </c>
      <c r="D645" s="42" t="s">
        <v>410</v>
      </c>
      <c r="E645" s="42" t="s">
        <v>411</v>
      </c>
      <c r="F645" s="47">
        <v>617699.72</v>
      </c>
      <c r="G645" s="44">
        <v>46198</v>
      </c>
      <c r="H645" s="45" t="e">
        <f t="shared" si="2"/>
        <v>#N/A</v>
      </c>
      <c r="I645" s="46">
        <v>45938.708506944444</v>
      </c>
    </row>
    <row r="646" spans="1:10">
      <c r="A646" s="40" t="s">
        <v>645</v>
      </c>
      <c r="B646" s="40" t="s">
        <v>646</v>
      </c>
      <c r="C646" s="41">
        <v>45818</v>
      </c>
      <c r="D646" s="42" t="s">
        <v>410</v>
      </c>
      <c r="E646" s="42" t="s">
        <v>411</v>
      </c>
      <c r="F646" s="47">
        <v>907399.57</v>
      </c>
      <c r="G646" s="44">
        <v>46167</v>
      </c>
      <c r="H646" s="45" t="e">
        <f t="shared" si="2"/>
        <v>#N/A</v>
      </c>
      <c r="I646" s="46">
        <v>45938.708506944444</v>
      </c>
    </row>
    <row r="647" spans="1:10">
      <c r="A647" s="40" t="s">
        <v>645</v>
      </c>
      <c r="B647" s="40" t="s">
        <v>646</v>
      </c>
      <c r="C647" s="41">
        <v>45787</v>
      </c>
      <c r="D647" s="42" t="s">
        <v>410</v>
      </c>
      <c r="E647" s="42" t="s">
        <v>411</v>
      </c>
      <c r="F647" s="47">
        <v>1016223.73</v>
      </c>
      <c r="G647" s="44">
        <v>46137</v>
      </c>
      <c r="H647" s="45" t="e">
        <f t="shared" si="2"/>
        <v>#N/A</v>
      </c>
      <c r="I647" s="46">
        <v>45938.708506944444</v>
      </c>
    </row>
    <row r="648" spans="1:10">
      <c r="A648" s="40" t="s">
        <v>645</v>
      </c>
      <c r="B648" s="40" t="s">
        <v>646</v>
      </c>
      <c r="C648" s="41">
        <v>45757</v>
      </c>
      <c r="D648" s="42" t="s">
        <v>410</v>
      </c>
      <c r="E648" s="42" t="s">
        <v>411</v>
      </c>
      <c r="F648" s="47">
        <v>2523205.38</v>
      </c>
      <c r="G648" s="44">
        <v>46106</v>
      </c>
      <c r="H648" s="45" t="e">
        <f t="shared" si="2"/>
        <v>#N/A</v>
      </c>
      <c r="I648" s="46">
        <v>45946.60765046296</v>
      </c>
    </row>
    <row r="649" spans="1:10">
      <c r="A649" s="40" t="s">
        <v>645</v>
      </c>
      <c r="B649" s="40" t="s">
        <v>646</v>
      </c>
      <c r="C649" s="41">
        <v>45726</v>
      </c>
      <c r="D649" s="42" t="s">
        <v>410</v>
      </c>
      <c r="E649" s="42" t="s">
        <v>411</v>
      </c>
      <c r="F649" s="47">
        <v>2373445.2400000002</v>
      </c>
      <c r="G649" s="44">
        <v>46078</v>
      </c>
      <c r="H649" s="45" t="e">
        <f t="shared" si="2"/>
        <v>#N/A</v>
      </c>
      <c r="I649" s="46">
        <v>45946.60664351852</v>
      </c>
    </row>
    <row r="650" spans="1:10">
      <c r="A650" s="40" t="s">
        <v>645</v>
      </c>
      <c r="B650" s="40" t="s">
        <v>646</v>
      </c>
      <c r="C650" s="41">
        <v>45698</v>
      </c>
      <c r="D650" s="42" t="s">
        <v>410</v>
      </c>
      <c r="E650" s="42" t="s">
        <v>411</v>
      </c>
      <c r="F650" s="47">
        <v>5475812.3600000003</v>
      </c>
      <c r="G650" s="44">
        <v>46047</v>
      </c>
      <c r="H650" s="45" t="e">
        <f t="shared" si="2"/>
        <v>#N/A</v>
      </c>
      <c r="I650" s="46">
        <v>45938.708506944444</v>
      </c>
    </row>
    <row r="651" spans="1:10">
      <c r="A651" s="40" t="s">
        <v>652</v>
      </c>
      <c r="B651" s="40" t="s">
        <v>653</v>
      </c>
      <c r="C651" s="41">
        <v>46117</v>
      </c>
      <c r="D651" s="42" t="s">
        <v>476</v>
      </c>
      <c r="E651" s="42" t="s">
        <v>411</v>
      </c>
      <c r="F651" s="43"/>
      <c r="G651" s="44">
        <v>46107</v>
      </c>
      <c r="H651" s="45" t="e">
        <f t="shared" si="2"/>
        <v>#N/A</v>
      </c>
      <c r="I651" s="43"/>
    </row>
    <row r="652" spans="1:10">
      <c r="A652" s="40" t="s">
        <v>652</v>
      </c>
      <c r="B652" s="40" t="s">
        <v>653</v>
      </c>
      <c r="C652" s="41">
        <v>46086</v>
      </c>
      <c r="D652" s="42" t="s">
        <v>476</v>
      </c>
      <c r="E652" s="42" t="s">
        <v>411</v>
      </c>
      <c r="F652" s="43"/>
      <c r="G652" s="44">
        <v>46079</v>
      </c>
      <c r="H652" s="45" t="e">
        <f t="shared" si="2"/>
        <v>#N/A</v>
      </c>
      <c r="I652" s="43"/>
    </row>
    <row r="653" spans="1:10">
      <c r="A653" s="40" t="s">
        <v>652</v>
      </c>
      <c r="B653" s="40" t="s">
        <v>653</v>
      </c>
      <c r="C653" s="41">
        <v>46058</v>
      </c>
      <c r="D653" s="42" t="s">
        <v>476</v>
      </c>
      <c r="E653" s="42" t="s">
        <v>411</v>
      </c>
      <c r="F653" s="43"/>
      <c r="G653" s="44">
        <v>46048</v>
      </c>
      <c r="H653" s="45" t="e">
        <f t="shared" si="2"/>
        <v>#N/A</v>
      </c>
      <c r="I653" s="43"/>
    </row>
    <row r="654" spans="1:10">
      <c r="A654" s="40" t="s">
        <v>652</v>
      </c>
      <c r="B654" s="40" t="s">
        <v>653</v>
      </c>
      <c r="C654" s="41">
        <v>46027</v>
      </c>
      <c r="D654" s="42" t="s">
        <v>476</v>
      </c>
      <c r="E654" s="42" t="s">
        <v>411</v>
      </c>
      <c r="F654" s="43"/>
      <c r="G654" s="44">
        <v>46381</v>
      </c>
      <c r="H654" s="45" t="e">
        <f t="shared" si="2"/>
        <v>#N/A</v>
      </c>
      <c r="I654" s="43"/>
    </row>
    <row r="655" spans="1:10">
      <c r="A655" s="40" t="s">
        <v>652</v>
      </c>
      <c r="B655" s="40" t="s">
        <v>653</v>
      </c>
      <c r="C655" s="41">
        <v>45996</v>
      </c>
      <c r="D655" s="42" t="s">
        <v>476</v>
      </c>
      <c r="E655" s="42" t="s">
        <v>411</v>
      </c>
      <c r="F655" s="43"/>
      <c r="G655" s="44">
        <v>46351</v>
      </c>
      <c r="H655" s="45" t="e">
        <f t="shared" si="2"/>
        <v>#N/A</v>
      </c>
      <c r="I655" s="43"/>
    </row>
    <row r="656" spans="1:10">
      <c r="A656" s="40" t="s">
        <v>652</v>
      </c>
      <c r="B656" s="40" t="s">
        <v>653</v>
      </c>
      <c r="C656" s="41">
        <v>45966</v>
      </c>
      <c r="D656" s="42" t="s">
        <v>476</v>
      </c>
      <c r="E656" s="42" t="s">
        <v>411</v>
      </c>
      <c r="F656" s="43"/>
      <c r="G656" s="44">
        <v>46320</v>
      </c>
      <c r="H656" s="45" t="e">
        <f t="shared" si="2"/>
        <v>#N/A</v>
      </c>
      <c r="I656" s="43"/>
    </row>
    <row r="657" spans="1:9">
      <c r="A657" s="40" t="s">
        <v>654</v>
      </c>
      <c r="B657" s="40" t="s">
        <v>655</v>
      </c>
      <c r="C657" s="41">
        <v>46117</v>
      </c>
      <c r="D657" s="42" t="s">
        <v>476</v>
      </c>
      <c r="E657" s="42" t="s">
        <v>411</v>
      </c>
      <c r="F657" s="43"/>
      <c r="G657" s="44">
        <v>46107</v>
      </c>
      <c r="H657" s="45" t="e">
        <f t="shared" si="2"/>
        <v>#N/A</v>
      </c>
      <c r="I657" s="43"/>
    </row>
    <row r="658" spans="1:9">
      <c r="A658" s="40" t="s">
        <v>654</v>
      </c>
      <c r="B658" s="40" t="s">
        <v>655</v>
      </c>
      <c r="C658" s="41">
        <v>46086</v>
      </c>
      <c r="D658" s="42" t="s">
        <v>476</v>
      </c>
      <c r="E658" s="42" t="s">
        <v>411</v>
      </c>
      <c r="F658" s="43"/>
      <c r="G658" s="44">
        <v>46079</v>
      </c>
      <c r="H658" s="45" t="e">
        <f t="shared" si="2"/>
        <v>#N/A</v>
      </c>
      <c r="I658" s="43"/>
    </row>
    <row r="659" spans="1:9">
      <c r="A659" s="40" t="s">
        <v>656</v>
      </c>
      <c r="B659" s="40" t="s">
        <v>657</v>
      </c>
      <c r="C659" s="41">
        <v>46122</v>
      </c>
      <c r="D659" s="42" t="s">
        <v>490</v>
      </c>
      <c r="E659" s="42" t="s">
        <v>411</v>
      </c>
      <c r="F659" s="43"/>
      <c r="G659" s="44">
        <v>46107</v>
      </c>
      <c r="H659" s="45" t="e">
        <f t="shared" si="2"/>
        <v>#N/A</v>
      </c>
      <c r="I659" s="46"/>
    </row>
    <row r="660" spans="1:9">
      <c r="A660" s="40" t="s">
        <v>656</v>
      </c>
      <c r="B660" s="40" t="s">
        <v>657</v>
      </c>
      <c r="C660" s="41">
        <v>46091</v>
      </c>
      <c r="D660" s="42" t="s">
        <v>490</v>
      </c>
      <c r="E660" s="42" t="s">
        <v>411</v>
      </c>
      <c r="F660" s="43"/>
      <c r="G660" s="44">
        <v>46079</v>
      </c>
      <c r="H660" s="45" t="e">
        <f t="shared" si="2"/>
        <v>#N/A</v>
      </c>
      <c r="I660" s="43"/>
    </row>
    <row r="661" spans="1:9">
      <c r="A661" s="40" t="s">
        <v>656</v>
      </c>
      <c r="B661" s="40" t="s">
        <v>657</v>
      </c>
      <c r="C661" s="41">
        <v>46063</v>
      </c>
      <c r="D661" s="42" t="s">
        <v>490</v>
      </c>
      <c r="E661" s="42" t="s">
        <v>411</v>
      </c>
      <c r="F661" s="47">
        <v>83.04</v>
      </c>
      <c r="G661" s="44">
        <v>46048</v>
      </c>
      <c r="H661" s="45" t="e">
        <f t="shared" si="2"/>
        <v>#N/A</v>
      </c>
      <c r="I661" s="46">
        <v>46055.569421296299</v>
      </c>
    </row>
    <row r="662" spans="1:9">
      <c r="A662" s="40" t="s">
        <v>656</v>
      </c>
      <c r="B662" s="40" t="s">
        <v>657</v>
      </c>
      <c r="C662" s="41">
        <v>46032</v>
      </c>
      <c r="D662" s="42" t="s">
        <v>490</v>
      </c>
      <c r="E662" s="42" t="s">
        <v>411</v>
      </c>
      <c r="F662" s="47">
        <v>56.1</v>
      </c>
      <c r="G662" s="44">
        <v>46381</v>
      </c>
      <c r="H662" s="45" t="e">
        <f t="shared" si="2"/>
        <v>#N/A</v>
      </c>
      <c r="I662" s="46">
        <v>46030.418611111112</v>
      </c>
    </row>
    <row r="663" spans="1:9">
      <c r="A663" s="40" t="s">
        <v>656</v>
      </c>
      <c r="B663" s="40" t="s">
        <v>657</v>
      </c>
      <c r="C663" s="41">
        <v>46001</v>
      </c>
      <c r="D663" s="42" t="s">
        <v>490</v>
      </c>
      <c r="E663" s="42" t="s">
        <v>411</v>
      </c>
      <c r="F663" s="47">
        <v>81.819999999999993</v>
      </c>
      <c r="G663" s="44">
        <v>46351</v>
      </c>
      <c r="H663" s="45" t="e">
        <f t="shared" si="2"/>
        <v>#N/A</v>
      </c>
      <c r="I663" s="46">
        <v>45996.488171296296</v>
      </c>
    </row>
    <row r="664" spans="1:9">
      <c r="A664" s="40" t="s">
        <v>656</v>
      </c>
      <c r="B664" s="40" t="s">
        <v>657</v>
      </c>
      <c r="C664" s="41">
        <v>45971</v>
      </c>
      <c r="D664" s="42" t="s">
        <v>490</v>
      </c>
      <c r="E664" s="42" t="s">
        <v>411</v>
      </c>
      <c r="F664" s="47">
        <v>79.45</v>
      </c>
      <c r="G664" s="44">
        <v>46320</v>
      </c>
      <c r="H664" s="45" t="e">
        <f t="shared" si="2"/>
        <v>#N/A</v>
      </c>
      <c r="I664" s="46">
        <v>45973.470914351848</v>
      </c>
    </row>
    <row r="665" spans="1:9">
      <c r="A665" s="40" t="s">
        <v>656</v>
      </c>
      <c r="B665" s="40" t="s">
        <v>657</v>
      </c>
      <c r="C665" s="41">
        <v>45940</v>
      </c>
      <c r="D665" s="42" t="s">
        <v>490</v>
      </c>
      <c r="E665" s="42" t="s">
        <v>411</v>
      </c>
      <c r="F665" s="47">
        <v>78.680000000000007</v>
      </c>
      <c r="G665" s="44">
        <v>46290</v>
      </c>
      <c r="H665" s="45" t="e">
        <f t="shared" si="2"/>
        <v>#N/A</v>
      </c>
      <c r="I665" s="46">
        <v>45944.472442129627</v>
      </c>
    </row>
    <row r="666" spans="1:9">
      <c r="A666" s="40" t="s">
        <v>656</v>
      </c>
      <c r="B666" s="40" t="s">
        <v>657</v>
      </c>
      <c r="C666" s="41">
        <v>45910</v>
      </c>
      <c r="D666" s="42" t="s">
        <v>490</v>
      </c>
      <c r="E666" s="42" t="s">
        <v>411</v>
      </c>
      <c r="F666" s="47">
        <v>83.33</v>
      </c>
      <c r="G666" s="44">
        <v>46259</v>
      </c>
      <c r="H666" s="45" t="e">
        <f t="shared" si="2"/>
        <v>#N/A</v>
      </c>
      <c r="I666" s="46">
        <v>45944.472974537035</v>
      </c>
    </row>
    <row r="667" spans="1:9">
      <c r="A667" s="40" t="s">
        <v>656</v>
      </c>
      <c r="B667" s="40" t="s">
        <v>657</v>
      </c>
      <c r="C667" s="41">
        <v>45879</v>
      </c>
      <c r="D667" s="42" t="s">
        <v>490</v>
      </c>
      <c r="E667" s="42" t="s">
        <v>411</v>
      </c>
      <c r="F667" s="47">
        <v>74.25</v>
      </c>
      <c r="G667" s="44">
        <v>46228</v>
      </c>
      <c r="H667" s="45" t="e">
        <f t="shared" si="2"/>
        <v>#N/A</v>
      </c>
      <c r="I667" s="46">
        <v>45938.712731481479</v>
      </c>
    </row>
    <row r="668" spans="1:9">
      <c r="A668" s="40" t="s">
        <v>656</v>
      </c>
      <c r="B668" s="40" t="s">
        <v>657</v>
      </c>
      <c r="C668" s="41">
        <v>45848</v>
      </c>
      <c r="D668" s="42" t="s">
        <v>490</v>
      </c>
      <c r="E668" s="42" t="s">
        <v>411</v>
      </c>
      <c r="F668" s="47">
        <v>80.72</v>
      </c>
      <c r="G668" s="44">
        <v>46198</v>
      </c>
      <c r="H668" s="45" t="e">
        <f t="shared" si="2"/>
        <v>#N/A</v>
      </c>
      <c r="I668" s="46">
        <v>45944.47283564815</v>
      </c>
    </row>
    <row r="669" spans="1:9">
      <c r="A669" s="40" t="s">
        <v>656</v>
      </c>
      <c r="B669" s="40" t="s">
        <v>657</v>
      </c>
      <c r="C669" s="41">
        <v>45818</v>
      </c>
      <c r="D669" s="42" t="s">
        <v>490</v>
      </c>
      <c r="E669" s="42" t="s">
        <v>411</v>
      </c>
      <c r="F669" s="47">
        <v>73.62</v>
      </c>
      <c r="G669" s="44">
        <v>46167</v>
      </c>
      <c r="H669" s="45" t="e">
        <f t="shared" si="2"/>
        <v>#N/A</v>
      </c>
      <c r="I669" s="46">
        <v>45944.472685185188</v>
      </c>
    </row>
    <row r="670" spans="1:9">
      <c r="A670" s="40" t="s">
        <v>656</v>
      </c>
      <c r="B670" s="40" t="s">
        <v>657</v>
      </c>
      <c r="C670" s="41">
        <v>45787</v>
      </c>
      <c r="D670" s="42" t="s">
        <v>490</v>
      </c>
      <c r="E670" s="42" t="s">
        <v>411</v>
      </c>
      <c r="F670" s="47">
        <v>90.87</v>
      </c>
      <c r="G670" s="44">
        <v>46137</v>
      </c>
      <c r="H670" s="45" t="e">
        <f t="shared" si="2"/>
        <v>#N/A</v>
      </c>
      <c r="I670" s="46">
        <v>45951.647870370369</v>
      </c>
    </row>
    <row r="671" spans="1:9">
      <c r="A671" s="40" t="s">
        <v>656</v>
      </c>
      <c r="B671" s="40" t="s">
        <v>657</v>
      </c>
      <c r="C671" s="41">
        <v>45757</v>
      </c>
      <c r="D671" s="42" t="s">
        <v>490</v>
      </c>
      <c r="E671" s="42" t="s">
        <v>411</v>
      </c>
      <c r="F671" s="47">
        <v>87.9</v>
      </c>
      <c r="G671" s="44">
        <v>46106</v>
      </c>
      <c r="H671" s="45" t="e">
        <f t="shared" si="2"/>
        <v>#N/A</v>
      </c>
      <c r="I671" s="46">
        <v>45951.647789351853</v>
      </c>
    </row>
    <row r="672" spans="1:9">
      <c r="A672" s="40" t="s">
        <v>656</v>
      </c>
      <c r="B672" s="40" t="s">
        <v>657</v>
      </c>
      <c r="C672" s="41">
        <v>45726</v>
      </c>
      <c r="D672" s="42" t="s">
        <v>490</v>
      </c>
      <c r="E672" s="42" t="s">
        <v>411</v>
      </c>
      <c r="F672" s="47">
        <v>88.89</v>
      </c>
      <c r="G672" s="44">
        <v>46078</v>
      </c>
      <c r="H672" s="45" t="e">
        <f t="shared" si="2"/>
        <v>#N/A</v>
      </c>
      <c r="I672" s="46">
        <v>45951.647615740738</v>
      </c>
    </row>
    <row r="673" spans="1:10">
      <c r="A673" s="40" t="s">
        <v>656</v>
      </c>
      <c r="B673" s="40" t="s">
        <v>657</v>
      </c>
      <c r="C673" s="41">
        <v>45698</v>
      </c>
      <c r="D673" s="42" t="s">
        <v>490</v>
      </c>
      <c r="E673" s="42" t="s">
        <v>411</v>
      </c>
      <c r="F673" s="47">
        <v>96</v>
      </c>
      <c r="G673" s="44">
        <v>46047</v>
      </c>
      <c r="H673" s="45" t="e">
        <f t="shared" si="2"/>
        <v>#N/A</v>
      </c>
      <c r="I673" s="46">
        <v>45944.472534722219</v>
      </c>
    </row>
    <row r="674" spans="1:10">
      <c r="A674" s="40" t="s">
        <v>658</v>
      </c>
      <c r="B674" s="40" t="s">
        <v>659</v>
      </c>
      <c r="C674" s="41">
        <v>46117</v>
      </c>
      <c r="D674" s="42" t="s">
        <v>476</v>
      </c>
      <c r="E674" s="42" t="s">
        <v>411</v>
      </c>
      <c r="F674" s="43"/>
      <c r="G674" s="44">
        <v>46107</v>
      </c>
      <c r="H674" s="45" t="e">
        <f t="shared" si="2"/>
        <v>#N/A</v>
      </c>
      <c r="I674" s="46"/>
    </row>
    <row r="675" spans="1:10">
      <c r="A675" s="40" t="s">
        <v>658</v>
      </c>
      <c r="B675" s="40" t="s">
        <v>659</v>
      </c>
      <c r="C675" s="41">
        <v>46086</v>
      </c>
      <c r="D675" s="42" t="s">
        <v>476</v>
      </c>
      <c r="E675" s="42" t="s">
        <v>411</v>
      </c>
      <c r="F675" s="43"/>
      <c r="G675" s="44">
        <v>46079</v>
      </c>
      <c r="H675" s="45" t="e">
        <f t="shared" si="2"/>
        <v>#N/A</v>
      </c>
      <c r="I675" s="43"/>
    </row>
    <row r="676" spans="1:10">
      <c r="A676" s="40" t="s">
        <v>658</v>
      </c>
      <c r="B676" s="40" t="s">
        <v>659</v>
      </c>
      <c r="C676" s="41">
        <v>46058</v>
      </c>
      <c r="D676" s="42" t="s">
        <v>476</v>
      </c>
      <c r="E676" s="42" t="s">
        <v>411</v>
      </c>
      <c r="F676" s="47">
        <v>0</v>
      </c>
      <c r="G676" s="44">
        <v>46048</v>
      </c>
      <c r="H676" s="45" t="e">
        <f t="shared" si="2"/>
        <v>#N/A</v>
      </c>
      <c r="I676" s="46">
        <v>46065.595995370371</v>
      </c>
      <c r="J676" s="40" t="s">
        <v>660</v>
      </c>
    </row>
    <row r="677" spans="1:10">
      <c r="A677" s="40" t="s">
        <v>661</v>
      </c>
      <c r="B677" s="40" t="s">
        <v>662</v>
      </c>
      <c r="C677" s="41">
        <v>46122</v>
      </c>
      <c r="D677" s="42" t="s">
        <v>410</v>
      </c>
      <c r="E677" s="42" t="s">
        <v>411</v>
      </c>
      <c r="F677" s="43"/>
      <c r="G677" s="44">
        <v>46107</v>
      </c>
      <c r="H677" s="45" t="e">
        <f t="shared" si="2"/>
        <v>#N/A</v>
      </c>
      <c r="I677" s="46"/>
    </row>
    <row r="678" spans="1:10">
      <c r="A678" s="40" t="s">
        <v>661</v>
      </c>
      <c r="B678" s="40" t="s">
        <v>662</v>
      </c>
      <c r="C678" s="41">
        <v>46091</v>
      </c>
      <c r="D678" s="42" t="s">
        <v>410</v>
      </c>
      <c r="E678" s="42" t="s">
        <v>411</v>
      </c>
      <c r="F678" s="43"/>
      <c r="G678" s="44">
        <v>46079</v>
      </c>
      <c r="H678" s="45" t="e">
        <f t="shared" si="2"/>
        <v>#N/A</v>
      </c>
      <c r="I678" s="43"/>
    </row>
    <row r="679" spans="1:10">
      <c r="A679" s="40" t="s">
        <v>661</v>
      </c>
      <c r="B679" s="40" t="s">
        <v>662</v>
      </c>
      <c r="C679" s="41">
        <v>46063</v>
      </c>
      <c r="D679" s="42" t="s">
        <v>410</v>
      </c>
      <c r="E679" s="42" t="s">
        <v>411</v>
      </c>
      <c r="F679" s="47">
        <v>269358.59999999998</v>
      </c>
      <c r="G679" s="44">
        <v>46048</v>
      </c>
      <c r="H679" s="45" t="e">
        <f t="shared" si="2"/>
        <v>#N/A</v>
      </c>
      <c r="I679" s="46">
        <v>46072.560532407406</v>
      </c>
    </row>
    <row r="680" spans="1:10">
      <c r="A680" s="40" t="s">
        <v>661</v>
      </c>
      <c r="B680" s="40" t="s">
        <v>662</v>
      </c>
      <c r="C680" s="41">
        <v>46032</v>
      </c>
      <c r="D680" s="42" t="s">
        <v>410</v>
      </c>
      <c r="E680" s="42" t="s">
        <v>411</v>
      </c>
      <c r="F680" s="47">
        <v>246274.62</v>
      </c>
      <c r="G680" s="44">
        <v>46381</v>
      </c>
      <c r="H680" s="45" t="e">
        <f t="shared" si="2"/>
        <v>#N/A</v>
      </c>
      <c r="I680" s="46">
        <v>46041.77244212963</v>
      </c>
    </row>
    <row r="681" spans="1:10">
      <c r="A681" s="40" t="s">
        <v>661</v>
      </c>
      <c r="B681" s="40" t="s">
        <v>662</v>
      </c>
      <c r="C681" s="41">
        <v>46001</v>
      </c>
      <c r="D681" s="42" t="s">
        <v>410</v>
      </c>
      <c r="E681" s="42" t="s">
        <v>411</v>
      </c>
      <c r="F681" s="47">
        <v>207163.67</v>
      </c>
      <c r="G681" s="44">
        <v>46351</v>
      </c>
      <c r="H681" s="45" t="e">
        <f t="shared" si="2"/>
        <v>#N/A</v>
      </c>
      <c r="I681" s="46">
        <v>46002.877523148149</v>
      </c>
    </row>
    <row r="682" spans="1:10">
      <c r="A682" s="40" t="s">
        <v>661</v>
      </c>
      <c r="B682" s="40" t="s">
        <v>662</v>
      </c>
      <c r="C682" s="41">
        <v>45971</v>
      </c>
      <c r="D682" s="42" t="s">
        <v>410</v>
      </c>
      <c r="E682" s="42" t="s">
        <v>411</v>
      </c>
      <c r="F682" s="47">
        <v>189712.84</v>
      </c>
      <c r="G682" s="44">
        <v>46320</v>
      </c>
      <c r="H682" s="45" t="e">
        <f t="shared" si="2"/>
        <v>#N/A</v>
      </c>
      <c r="I682" s="46">
        <v>45982.808576388888</v>
      </c>
      <c r="J682" s="40" t="s">
        <v>663</v>
      </c>
    </row>
    <row r="683" spans="1:10">
      <c r="A683" s="40" t="s">
        <v>661</v>
      </c>
      <c r="B683" s="40" t="s">
        <v>662</v>
      </c>
      <c r="C683" s="41">
        <v>45940</v>
      </c>
      <c r="D683" s="42" t="s">
        <v>410</v>
      </c>
      <c r="E683" s="42" t="s">
        <v>411</v>
      </c>
      <c r="F683" s="47">
        <v>298095.76</v>
      </c>
      <c r="G683" s="44">
        <v>46290</v>
      </c>
      <c r="H683" s="45" t="e">
        <f t="shared" si="2"/>
        <v>#N/A</v>
      </c>
      <c r="I683" s="46">
        <v>45975.864212962966</v>
      </c>
    </row>
    <row r="684" spans="1:10">
      <c r="A684" s="40" t="s">
        <v>661</v>
      </c>
      <c r="B684" s="40" t="s">
        <v>662</v>
      </c>
      <c r="C684" s="41">
        <v>45910</v>
      </c>
      <c r="D684" s="42" t="s">
        <v>410</v>
      </c>
      <c r="E684" s="42" t="s">
        <v>411</v>
      </c>
      <c r="F684" s="47">
        <v>289547.94</v>
      </c>
      <c r="G684" s="44">
        <v>46259</v>
      </c>
      <c r="H684" s="45" t="e">
        <f t="shared" si="2"/>
        <v>#N/A</v>
      </c>
      <c r="I684" s="46">
        <v>45975.862685185188</v>
      </c>
    </row>
    <row r="685" spans="1:10">
      <c r="A685" s="40" t="s">
        <v>661</v>
      </c>
      <c r="B685" s="40" t="s">
        <v>662</v>
      </c>
      <c r="C685" s="41">
        <v>45879</v>
      </c>
      <c r="D685" s="42" t="s">
        <v>410</v>
      </c>
      <c r="E685" s="42" t="s">
        <v>411</v>
      </c>
      <c r="F685" s="47">
        <v>31412.74</v>
      </c>
      <c r="G685" s="44">
        <v>46228</v>
      </c>
      <c r="H685" s="45" t="e">
        <f t="shared" si="2"/>
        <v>#N/A</v>
      </c>
      <c r="I685" s="46">
        <v>45936.648090277777</v>
      </c>
    </row>
    <row r="686" spans="1:10">
      <c r="A686" s="40" t="s">
        <v>661</v>
      </c>
      <c r="B686" s="40" t="s">
        <v>662</v>
      </c>
      <c r="C686" s="41">
        <v>45848</v>
      </c>
      <c r="D686" s="42" t="s">
        <v>410</v>
      </c>
      <c r="E686" s="42" t="s">
        <v>411</v>
      </c>
      <c r="F686" s="47">
        <v>18562.05</v>
      </c>
      <c r="G686" s="44">
        <v>46198</v>
      </c>
      <c r="H686" s="45" t="e">
        <f t="shared" si="2"/>
        <v>#N/A</v>
      </c>
      <c r="I686" s="46">
        <v>45936.648090277777</v>
      </c>
    </row>
    <row r="687" spans="1:10">
      <c r="A687" s="40" t="s">
        <v>661</v>
      </c>
      <c r="B687" s="40" t="s">
        <v>662</v>
      </c>
      <c r="C687" s="41">
        <v>45818</v>
      </c>
      <c r="D687" s="42" t="s">
        <v>410</v>
      </c>
      <c r="E687" s="42" t="s">
        <v>411</v>
      </c>
      <c r="F687" s="47">
        <v>174450.9</v>
      </c>
      <c r="G687" s="44">
        <v>46167</v>
      </c>
      <c r="H687" s="45" t="e">
        <f t="shared" si="2"/>
        <v>#N/A</v>
      </c>
      <c r="I687" s="46">
        <v>45936.648090277777</v>
      </c>
    </row>
    <row r="688" spans="1:10">
      <c r="A688" s="40" t="s">
        <v>661</v>
      </c>
      <c r="B688" s="40" t="s">
        <v>662</v>
      </c>
      <c r="C688" s="41">
        <v>45787</v>
      </c>
      <c r="D688" s="42" t="s">
        <v>410</v>
      </c>
      <c r="E688" s="42" t="s">
        <v>411</v>
      </c>
      <c r="F688" s="47">
        <v>31.197700000000001</v>
      </c>
      <c r="G688" s="44">
        <v>46137</v>
      </c>
      <c r="H688" s="45" t="e">
        <f t="shared" si="2"/>
        <v>#N/A</v>
      </c>
      <c r="I688" s="46">
        <v>45936.648090277777</v>
      </c>
    </row>
    <row r="689" spans="1:10">
      <c r="A689" s="40" t="s">
        <v>664</v>
      </c>
      <c r="B689" s="40" t="s">
        <v>665</v>
      </c>
      <c r="C689" s="41">
        <v>46133</v>
      </c>
      <c r="D689" s="42" t="s">
        <v>476</v>
      </c>
      <c r="E689" s="42" t="s">
        <v>411</v>
      </c>
      <c r="F689" s="43"/>
      <c r="G689" s="44">
        <v>46107</v>
      </c>
      <c r="H689" s="45" t="e">
        <f t="shared" si="2"/>
        <v>#N/A</v>
      </c>
      <c r="I689" s="46"/>
    </row>
    <row r="690" spans="1:10">
      <c r="A690" s="40" t="s">
        <v>664</v>
      </c>
      <c r="B690" s="40" t="s">
        <v>665</v>
      </c>
      <c r="C690" s="41">
        <v>46102</v>
      </c>
      <c r="D690" s="42" t="s">
        <v>476</v>
      </c>
      <c r="E690" s="42" t="s">
        <v>411</v>
      </c>
      <c r="F690" s="43"/>
      <c r="G690" s="44">
        <v>46079</v>
      </c>
      <c r="H690" s="45" t="e">
        <f t="shared" si="2"/>
        <v>#N/A</v>
      </c>
      <c r="I690" s="43"/>
    </row>
    <row r="691" spans="1:10">
      <c r="A691" s="40" t="s">
        <v>664</v>
      </c>
      <c r="B691" s="40" t="s">
        <v>665</v>
      </c>
      <c r="C691" s="41">
        <v>46074</v>
      </c>
      <c r="D691" s="42" t="s">
        <v>476</v>
      </c>
      <c r="E691" s="42" t="s">
        <v>411</v>
      </c>
      <c r="F691" s="43"/>
      <c r="G691" s="44">
        <v>46048</v>
      </c>
      <c r="H691" s="45" t="e">
        <f t="shared" si="2"/>
        <v>#N/A</v>
      </c>
      <c r="I691" s="43"/>
    </row>
    <row r="692" spans="1:10">
      <c r="A692" s="40" t="s">
        <v>664</v>
      </c>
      <c r="B692" s="40" t="s">
        <v>665</v>
      </c>
      <c r="C692" s="41">
        <v>46043</v>
      </c>
      <c r="D692" s="42" t="s">
        <v>476</v>
      </c>
      <c r="E692" s="42" t="s">
        <v>411</v>
      </c>
      <c r="F692" s="43"/>
      <c r="G692" s="44">
        <v>46381</v>
      </c>
      <c r="H692" s="45" t="e">
        <f t="shared" si="2"/>
        <v>#N/A</v>
      </c>
      <c r="I692" s="43"/>
    </row>
    <row r="693" spans="1:10">
      <c r="A693" s="40" t="s">
        <v>664</v>
      </c>
      <c r="B693" s="40" t="s">
        <v>665</v>
      </c>
      <c r="C693" s="41">
        <v>46012</v>
      </c>
      <c r="D693" s="42" t="s">
        <v>476</v>
      </c>
      <c r="E693" s="42" t="s">
        <v>411</v>
      </c>
      <c r="F693" s="43"/>
      <c r="G693" s="44">
        <v>46351</v>
      </c>
      <c r="H693" s="45" t="e">
        <f t="shared" si="2"/>
        <v>#N/A</v>
      </c>
      <c r="I693" s="43"/>
    </row>
    <row r="694" spans="1:10">
      <c r="A694" s="40" t="s">
        <v>664</v>
      </c>
      <c r="B694" s="40" t="s">
        <v>665</v>
      </c>
      <c r="C694" s="41">
        <v>45982</v>
      </c>
      <c r="D694" s="42" t="s">
        <v>476</v>
      </c>
      <c r="E694" s="42" t="s">
        <v>411</v>
      </c>
      <c r="F694" s="43"/>
      <c r="G694" s="44">
        <v>46320</v>
      </c>
      <c r="H694" s="45" t="e">
        <f t="shared" si="2"/>
        <v>#N/A</v>
      </c>
      <c r="I694" s="43"/>
    </row>
    <row r="695" spans="1:10">
      <c r="A695" s="40" t="s">
        <v>664</v>
      </c>
      <c r="B695" s="40" t="s">
        <v>665</v>
      </c>
      <c r="C695" s="41">
        <v>45951</v>
      </c>
      <c r="D695" s="42" t="s">
        <v>476</v>
      </c>
      <c r="E695" s="42" t="s">
        <v>411</v>
      </c>
      <c r="F695" s="47">
        <v>0.78</v>
      </c>
      <c r="G695" s="44">
        <v>46290</v>
      </c>
      <c r="H695" s="45" t="e">
        <f t="shared" si="2"/>
        <v>#N/A</v>
      </c>
      <c r="I695" s="46">
        <v>45972.617673611108</v>
      </c>
    </row>
    <row r="696" spans="1:10">
      <c r="A696" s="40" t="s">
        <v>666</v>
      </c>
      <c r="B696" s="40" t="s">
        <v>667</v>
      </c>
      <c r="C696" s="41">
        <v>46117</v>
      </c>
      <c r="D696" s="42" t="s">
        <v>476</v>
      </c>
      <c r="E696" s="42" t="s">
        <v>411</v>
      </c>
      <c r="F696" s="43"/>
      <c r="G696" s="44">
        <v>46107</v>
      </c>
      <c r="H696" s="45" t="e">
        <f t="shared" si="2"/>
        <v>#N/A</v>
      </c>
      <c r="I696" s="46"/>
      <c r="J696" s="48"/>
    </row>
    <row r="697" spans="1:10">
      <c r="A697" s="40" t="s">
        <v>666</v>
      </c>
      <c r="B697" s="40" t="s">
        <v>667</v>
      </c>
      <c r="C697" s="41">
        <v>46086</v>
      </c>
      <c r="D697" s="42" t="s">
        <v>476</v>
      </c>
      <c r="E697" s="42" t="s">
        <v>411</v>
      </c>
      <c r="F697" s="43"/>
      <c r="G697" s="44">
        <v>46079</v>
      </c>
      <c r="H697" s="45" t="e">
        <f t="shared" si="2"/>
        <v>#N/A</v>
      </c>
      <c r="I697" s="43"/>
    </row>
    <row r="698" spans="1:10">
      <c r="A698" s="40" t="s">
        <v>666</v>
      </c>
      <c r="B698" s="40" t="s">
        <v>667</v>
      </c>
      <c r="C698" s="41">
        <v>46058</v>
      </c>
      <c r="D698" s="42" t="s">
        <v>476</v>
      </c>
      <c r="E698" s="42" t="s">
        <v>411</v>
      </c>
      <c r="F698" s="47">
        <v>96</v>
      </c>
      <c r="G698" s="44">
        <v>46048</v>
      </c>
      <c r="H698" s="45" t="e">
        <f t="shared" si="2"/>
        <v>#N/A</v>
      </c>
      <c r="I698" s="46">
        <v>46072.621087962965</v>
      </c>
      <c r="J698" s="40" t="s">
        <v>668</v>
      </c>
    </row>
    <row r="699" spans="1:10">
      <c r="A699" s="40" t="s">
        <v>666</v>
      </c>
      <c r="B699" s="40" t="s">
        <v>667</v>
      </c>
      <c r="C699" s="41">
        <v>46027</v>
      </c>
      <c r="D699" s="42" t="s">
        <v>476</v>
      </c>
      <c r="E699" s="42" t="s">
        <v>411</v>
      </c>
      <c r="F699" s="47">
        <v>98</v>
      </c>
      <c r="G699" s="44">
        <v>46381</v>
      </c>
      <c r="H699" s="45" t="e">
        <f t="shared" si="2"/>
        <v>#N/A</v>
      </c>
      <c r="I699" s="46">
        <v>46045.448437500003</v>
      </c>
      <c r="J699" s="48">
        <v>0.98</v>
      </c>
    </row>
    <row r="700" spans="1:10">
      <c r="A700" s="40" t="s">
        <v>666</v>
      </c>
      <c r="B700" s="40" t="s">
        <v>667</v>
      </c>
      <c r="C700" s="41">
        <v>45996</v>
      </c>
      <c r="D700" s="42" t="s">
        <v>476</v>
      </c>
      <c r="E700" s="42" t="s">
        <v>411</v>
      </c>
      <c r="F700" s="47">
        <v>96</v>
      </c>
      <c r="G700" s="44">
        <v>46351</v>
      </c>
      <c r="H700" s="45" t="e">
        <f t="shared" si="2"/>
        <v>#N/A</v>
      </c>
      <c r="I700" s="46">
        <v>46003.71303240741</v>
      </c>
    </row>
    <row r="701" spans="1:10">
      <c r="A701" s="40" t="s">
        <v>666</v>
      </c>
      <c r="B701" s="40" t="s">
        <v>667</v>
      </c>
      <c r="C701" s="41">
        <v>45966</v>
      </c>
      <c r="D701" s="42" t="s">
        <v>476</v>
      </c>
      <c r="E701" s="42" t="s">
        <v>411</v>
      </c>
      <c r="F701" s="47">
        <v>97</v>
      </c>
      <c r="G701" s="44">
        <v>46320</v>
      </c>
      <c r="H701" s="45" t="e">
        <f t="shared" si="2"/>
        <v>#N/A</v>
      </c>
      <c r="I701" s="46">
        <v>45981.457662037035</v>
      </c>
    </row>
    <row r="702" spans="1:10">
      <c r="A702" s="40" t="s">
        <v>666</v>
      </c>
      <c r="B702" s="40" t="s">
        <v>667</v>
      </c>
      <c r="C702" s="41">
        <v>45935</v>
      </c>
      <c r="D702" s="42" t="s">
        <v>476</v>
      </c>
      <c r="E702" s="42" t="s">
        <v>411</v>
      </c>
      <c r="F702" s="47">
        <v>97</v>
      </c>
      <c r="G702" s="44">
        <v>46290</v>
      </c>
      <c r="H702" s="45" t="e">
        <f t="shared" si="2"/>
        <v>#N/A</v>
      </c>
      <c r="I702" s="46">
        <v>45981.457777777781</v>
      </c>
    </row>
    <row r="703" spans="1:10">
      <c r="A703" s="40" t="s">
        <v>666</v>
      </c>
      <c r="B703" s="40" t="s">
        <v>667</v>
      </c>
      <c r="C703" s="41">
        <v>45905</v>
      </c>
      <c r="D703" s="42" t="s">
        <v>476</v>
      </c>
      <c r="E703" s="42" t="s">
        <v>411</v>
      </c>
      <c r="F703" s="47">
        <v>97</v>
      </c>
      <c r="G703" s="44">
        <v>46259</v>
      </c>
      <c r="H703" s="45" t="e">
        <f t="shared" si="2"/>
        <v>#N/A</v>
      </c>
      <c r="I703" s="46">
        <v>45981.45821759259</v>
      </c>
    </row>
    <row r="704" spans="1:10">
      <c r="A704" s="40" t="s">
        <v>666</v>
      </c>
      <c r="B704" s="40" t="s">
        <v>667</v>
      </c>
      <c r="C704" s="41">
        <v>45874</v>
      </c>
      <c r="D704" s="42" t="s">
        <v>476</v>
      </c>
      <c r="E704" s="42" t="s">
        <v>411</v>
      </c>
      <c r="F704" s="47">
        <v>96</v>
      </c>
      <c r="G704" s="44">
        <v>46228</v>
      </c>
      <c r="H704" s="45" t="e">
        <f t="shared" si="2"/>
        <v>#N/A</v>
      </c>
      <c r="I704" s="46">
        <v>45981.458101851851</v>
      </c>
    </row>
    <row r="705" spans="1:10">
      <c r="A705" s="40" t="s">
        <v>666</v>
      </c>
      <c r="B705" s="40" t="s">
        <v>667</v>
      </c>
      <c r="C705" s="41">
        <v>45843</v>
      </c>
      <c r="D705" s="42" t="s">
        <v>476</v>
      </c>
      <c r="E705" s="42" t="s">
        <v>411</v>
      </c>
      <c r="F705" s="47">
        <v>96</v>
      </c>
      <c r="G705" s="44">
        <v>46198</v>
      </c>
      <c r="H705" s="45" t="e">
        <f t="shared" si="2"/>
        <v>#N/A</v>
      </c>
      <c r="I705" s="46">
        <v>45981.458055555559</v>
      </c>
    </row>
    <row r="706" spans="1:10">
      <c r="A706" s="40" t="s">
        <v>669</v>
      </c>
      <c r="B706" s="40" t="s">
        <v>670</v>
      </c>
      <c r="C706" s="41">
        <v>46122</v>
      </c>
      <c r="D706" s="42" t="s">
        <v>476</v>
      </c>
      <c r="E706" s="42" t="s">
        <v>411</v>
      </c>
      <c r="F706" s="43"/>
      <c r="G706" s="44">
        <v>46107</v>
      </c>
      <c r="H706" s="45" t="e">
        <f t="shared" si="2"/>
        <v>#N/A</v>
      </c>
      <c r="I706" s="46"/>
    </row>
    <row r="707" spans="1:10">
      <c r="A707" s="40" t="s">
        <v>669</v>
      </c>
      <c r="B707" s="40" t="s">
        <v>670</v>
      </c>
      <c r="C707" s="41">
        <v>46091</v>
      </c>
      <c r="D707" s="42" t="s">
        <v>476</v>
      </c>
      <c r="E707" s="42" t="s">
        <v>411</v>
      </c>
      <c r="F707" s="43"/>
      <c r="G707" s="44">
        <v>46079</v>
      </c>
      <c r="H707" s="45" t="e">
        <f t="shared" si="2"/>
        <v>#N/A</v>
      </c>
      <c r="I707" s="43"/>
    </row>
    <row r="708" spans="1:10">
      <c r="A708" s="40" t="s">
        <v>669</v>
      </c>
      <c r="B708" s="40" t="s">
        <v>670</v>
      </c>
      <c r="C708" s="41">
        <v>46063</v>
      </c>
      <c r="D708" s="42" t="s">
        <v>476</v>
      </c>
      <c r="E708" s="42" t="s">
        <v>411</v>
      </c>
      <c r="F708" s="47">
        <v>92</v>
      </c>
      <c r="G708" s="44">
        <v>46048</v>
      </c>
      <c r="H708" s="45" t="e">
        <f t="shared" si="2"/>
        <v>#N/A</v>
      </c>
      <c r="I708" s="46">
        <v>46070.347592592596</v>
      </c>
    </row>
    <row r="709" spans="1:10">
      <c r="A709" s="40" t="s">
        <v>669</v>
      </c>
      <c r="B709" s="40" t="s">
        <v>670</v>
      </c>
      <c r="C709" s="41">
        <v>46032</v>
      </c>
      <c r="D709" s="42" t="s">
        <v>476</v>
      </c>
      <c r="E709" s="42" t="s">
        <v>411</v>
      </c>
      <c r="F709" s="47">
        <v>96</v>
      </c>
      <c r="G709" s="44">
        <v>46381</v>
      </c>
      <c r="H709" s="45" t="e">
        <f t="shared" si="2"/>
        <v>#N/A</v>
      </c>
      <c r="I709" s="46">
        <v>46034.458055555559</v>
      </c>
      <c r="J709" s="40" t="s">
        <v>671</v>
      </c>
    </row>
    <row r="710" spans="1:10">
      <c r="A710" s="40" t="s">
        <v>669</v>
      </c>
      <c r="B710" s="40" t="s">
        <v>670</v>
      </c>
      <c r="C710" s="41">
        <v>46001</v>
      </c>
      <c r="D710" s="42" t="s">
        <v>476</v>
      </c>
      <c r="E710" s="42" t="s">
        <v>411</v>
      </c>
      <c r="F710" s="47">
        <v>96</v>
      </c>
      <c r="G710" s="44">
        <v>46351</v>
      </c>
      <c r="H710" s="45" t="e">
        <f t="shared" si="2"/>
        <v>#N/A</v>
      </c>
      <c r="I710" s="46">
        <v>46013.502314814818</v>
      </c>
      <c r="J710" s="40" t="s">
        <v>671</v>
      </c>
    </row>
    <row r="711" spans="1:10">
      <c r="A711" s="40" t="s">
        <v>669</v>
      </c>
      <c r="B711" s="40" t="s">
        <v>670</v>
      </c>
      <c r="C711" s="41">
        <v>45971</v>
      </c>
      <c r="D711" s="42" t="s">
        <v>476</v>
      </c>
      <c r="E711" s="42" t="s">
        <v>411</v>
      </c>
      <c r="F711" s="47">
        <v>97</v>
      </c>
      <c r="G711" s="44">
        <v>46320</v>
      </c>
      <c r="H711" s="45" t="e">
        <f t="shared" si="2"/>
        <v>#N/A</v>
      </c>
      <c r="I711" s="46">
        <v>45973.478425925925</v>
      </c>
    </row>
    <row r="712" spans="1:10">
      <c r="A712" s="40" t="s">
        <v>669</v>
      </c>
      <c r="B712" s="40" t="s">
        <v>670</v>
      </c>
      <c r="C712" s="41">
        <v>45940</v>
      </c>
      <c r="D712" s="42" t="s">
        <v>476</v>
      </c>
      <c r="E712" s="42" t="s">
        <v>411</v>
      </c>
      <c r="F712" s="43"/>
      <c r="G712" s="44">
        <v>46290</v>
      </c>
      <c r="H712" s="45" t="e">
        <f t="shared" si="2"/>
        <v>#N/A</v>
      </c>
      <c r="I712" s="43"/>
    </row>
    <row r="713" spans="1:10">
      <c r="A713" s="40" t="s">
        <v>669</v>
      </c>
      <c r="B713" s="40" t="s">
        <v>670</v>
      </c>
      <c r="C713" s="41">
        <v>45910</v>
      </c>
      <c r="D713" s="42" t="s">
        <v>476</v>
      </c>
      <c r="E713" s="42" t="s">
        <v>411</v>
      </c>
      <c r="F713" s="47">
        <v>95</v>
      </c>
      <c r="G713" s="44">
        <v>46259</v>
      </c>
      <c r="H713" s="45" t="e">
        <f t="shared" si="2"/>
        <v>#N/A</v>
      </c>
      <c r="I713" s="46">
        <v>45989.406527777777</v>
      </c>
    </row>
    <row r="714" spans="1:10">
      <c r="A714" s="40" t="s">
        <v>669</v>
      </c>
      <c r="B714" s="40" t="s">
        <v>670</v>
      </c>
      <c r="C714" s="41">
        <v>45879</v>
      </c>
      <c r="D714" s="42" t="s">
        <v>476</v>
      </c>
      <c r="E714" s="42" t="s">
        <v>411</v>
      </c>
      <c r="F714" s="43"/>
      <c r="G714" s="44">
        <v>46228</v>
      </c>
      <c r="H714" s="45" t="e">
        <f t="shared" si="2"/>
        <v>#N/A</v>
      </c>
      <c r="I714" s="43"/>
    </row>
    <row r="715" spans="1:10">
      <c r="A715" s="40" t="s">
        <v>669</v>
      </c>
      <c r="B715" s="40" t="s">
        <v>670</v>
      </c>
      <c r="C715" s="41">
        <v>45848</v>
      </c>
      <c r="D715" s="42" t="s">
        <v>476</v>
      </c>
      <c r="E715" s="42" t="s">
        <v>411</v>
      </c>
      <c r="F715" s="43"/>
      <c r="G715" s="44">
        <v>46198</v>
      </c>
      <c r="H715" s="45" t="e">
        <f t="shared" si="2"/>
        <v>#N/A</v>
      </c>
      <c r="I715" s="43"/>
    </row>
    <row r="716" spans="1:10">
      <c r="A716" s="40" t="s">
        <v>669</v>
      </c>
      <c r="B716" s="40" t="s">
        <v>670</v>
      </c>
      <c r="C716" s="41">
        <v>45818</v>
      </c>
      <c r="D716" s="42" t="s">
        <v>476</v>
      </c>
      <c r="E716" s="42" t="s">
        <v>411</v>
      </c>
      <c r="F716" s="43"/>
      <c r="G716" s="44">
        <v>46167</v>
      </c>
      <c r="H716" s="45" t="e">
        <f t="shared" si="2"/>
        <v>#N/A</v>
      </c>
      <c r="I716" s="43"/>
    </row>
    <row r="717" spans="1:10">
      <c r="A717" s="40" t="s">
        <v>669</v>
      </c>
      <c r="B717" s="40" t="s">
        <v>670</v>
      </c>
      <c r="C717" s="41">
        <v>45787</v>
      </c>
      <c r="D717" s="42" t="s">
        <v>476</v>
      </c>
      <c r="E717" s="42" t="s">
        <v>411</v>
      </c>
      <c r="F717" s="43"/>
      <c r="G717" s="44">
        <v>46137</v>
      </c>
      <c r="H717" s="45" t="e">
        <f t="shared" si="2"/>
        <v>#N/A</v>
      </c>
      <c r="I717" s="43"/>
    </row>
    <row r="718" spans="1:10">
      <c r="A718" s="40" t="s">
        <v>669</v>
      </c>
      <c r="B718" s="40" t="s">
        <v>670</v>
      </c>
      <c r="C718" s="41">
        <v>45757</v>
      </c>
      <c r="D718" s="42" t="s">
        <v>476</v>
      </c>
      <c r="E718" s="42" t="s">
        <v>411</v>
      </c>
      <c r="F718" s="43"/>
      <c r="G718" s="44">
        <v>46106</v>
      </c>
      <c r="H718" s="45" t="e">
        <f t="shared" si="2"/>
        <v>#N/A</v>
      </c>
      <c r="I718" s="43"/>
    </row>
    <row r="719" spans="1:10">
      <c r="A719" s="40" t="s">
        <v>669</v>
      </c>
      <c r="B719" s="40" t="s">
        <v>670</v>
      </c>
      <c r="C719" s="41">
        <v>45726</v>
      </c>
      <c r="D719" s="42" t="s">
        <v>476</v>
      </c>
      <c r="E719" s="42" t="s">
        <v>411</v>
      </c>
      <c r="F719" s="43"/>
      <c r="G719" s="44">
        <v>46078</v>
      </c>
      <c r="H719" s="45" t="e">
        <f t="shared" si="2"/>
        <v>#N/A</v>
      </c>
      <c r="I719" s="43"/>
    </row>
    <row r="720" spans="1:10">
      <c r="A720" s="40" t="s">
        <v>672</v>
      </c>
      <c r="B720" s="40" t="s">
        <v>673</v>
      </c>
      <c r="C720" s="41">
        <v>46122</v>
      </c>
      <c r="D720" s="42" t="s">
        <v>410</v>
      </c>
      <c r="E720" s="42" t="s">
        <v>411</v>
      </c>
      <c r="F720" s="43"/>
      <c r="G720" s="44">
        <v>46107</v>
      </c>
      <c r="H720" s="45" t="e">
        <f t="shared" si="2"/>
        <v>#N/A</v>
      </c>
      <c r="I720" s="46"/>
    </row>
    <row r="721" spans="1:9">
      <c r="A721" s="40" t="s">
        <v>672</v>
      </c>
      <c r="B721" s="40" t="s">
        <v>673</v>
      </c>
      <c r="C721" s="41">
        <v>46091</v>
      </c>
      <c r="D721" s="42" t="s">
        <v>410</v>
      </c>
      <c r="E721" s="42" t="s">
        <v>411</v>
      </c>
      <c r="F721" s="43"/>
      <c r="G721" s="44">
        <v>46079</v>
      </c>
      <c r="H721" s="45" t="e">
        <f t="shared" si="2"/>
        <v>#N/A</v>
      </c>
      <c r="I721" s="43"/>
    </row>
    <row r="722" spans="1:9">
      <c r="A722" s="40" t="s">
        <v>672</v>
      </c>
      <c r="B722" s="40" t="s">
        <v>673</v>
      </c>
      <c r="C722" s="41">
        <v>46063</v>
      </c>
      <c r="D722" s="42" t="s">
        <v>410</v>
      </c>
      <c r="E722" s="42" t="s">
        <v>411</v>
      </c>
      <c r="F722" s="47">
        <v>70300.06</v>
      </c>
      <c r="G722" s="44">
        <v>46048</v>
      </c>
      <c r="H722" s="45" t="e">
        <f t="shared" si="2"/>
        <v>#N/A</v>
      </c>
      <c r="I722" s="46">
        <v>46070.648923611108</v>
      </c>
    </row>
    <row r="723" spans="1:9">
      <c r="A723" s="40" t="s">
        <v>672</v>
      </c>
      <c r="B723" s="40" t="s">
        <v>673</v>
      </c>
      <c r="C723" s="41">
        <v>46032</v>
      </c>
      <c r="D723" s="42" t="s">
        <v>410</v>
      </c>
      <c r="E723" s="42" t="s">
        <v>411</v>
      </c>
      <c r="F723" s="47">
        <v>64262.11</v>
      </c>
      <c r="G723" s="44">
        <v>46381</v>
      </c>
      <c r="H723" s="45" t="e">
        <f t="shared" si="2"/>
        <v>#N/A</v>
      </c>
      <c r="I723" s="46">
        <v>46045.670775462961</v>
      </c>
    </row>
    <row r="724" spans="1:9">
      <c r="A724" s="40" t="s">
        <v>672</v>
      </c>
      <c r="B724" s="40" t="s">
        <v>673</v>
      </c>
      <c r="C724" s="41">
        <v>46001</v>
      </c>
      <c r="D724" s="42" t="s">
        <v>410</v>
      </c>
      <c r="E724" s="42" t="s">
        <v>411</v>
      </c>
      <c r="F724" s="47">
        <v>56501.36</v>
      </c>
      <c r="G724" s="44">
        <v>46351</v>
      </c>
      <c r="H724" s="45" t="e">
        <f t="shared" si="2"/>
        <v>#N/A</v>
      </c>
      <c r="I724" s="46">
        <v>46002.587037037039</v>
      </c>
    </row>
    <row r="725" spans="1:9">
      <c r="A725" s="40" t="s">
        <v>672</v>
      </c>
      <c r="B725" s="40" t="s">
        <v>673</v>
      </c>
      <c r="C725" s="41">
        <v>45971</v>
      </c>
      <c r="D725" s="42" t="s">
        <v>410</v>
      </c>
      <c r="E725" s="42" t="s">
        <v>411</v>
      </c>
      <c r="F725" s="47">
        <v>65090.080000000002</v>
      </c>
      <c r="G725" s="44">
        <v>46320</v>
      </c>
      <c r="H725" s="45" t="e">
        <f t="shared" si="2"/>
        <v>#N/A</v>
      </c>
      <c r="I725" s="46">
        <v>45978.528668981482</v>
      </c>
    </row>
    <row r="726" spans="1:9">
      <c r="A726" s="40" t="s">
        <v>672</v>
      </c>
      <c r="B726" s="40" t="s">
        <v>673</v>
      </c>
      <c r="C726" s="41">
        <v>45940</v>
      </c>
      <c r="D726" s="42" t="s">
        <v>410</v>
      </c>
      <c r="E726" s="42" t="s">
        <v>411</v>
      </c>
      <c r="F726" s="47">
        <v>67169.38</v>
      </c>
      <c r="G726" s="44">
        <v>46290</v>
      </c>
      <c r="H726" s="45" t="e">
        <f t="shared" si="2"/>
        <v>#N/A</v>
      </c>
      <c r="I726" s="46">
        <v>45939.881412037037</v>
      </c>
    </row>
    <row r="727" spans="1:9">
      <c r="A727" s="40" t="s">
        <v>672</v>
      </c>
      <c r="B727" s="40" t="s">
        <v>673</v>
      </c>
      <c r="C727" s="41">
        <v>45910</v>
      </c>
      <c r="D727" s="42" t="s">
        <v>410</v>
      </c>
      <c r="E727" s="42" t="s">
        <v>411</v>
      </c>
      <c r="F727" s="47">
        <v>66090.34</v>
      </c>
      <c r="G727" s="44">
        <v>46259</v>
      </c>
      <c r="H727" s="45" t="e">
        <f t="shared" si="2"/>
        <v>#N/A</v>
      </c>
      <c r="I727" s="46">
        <v>45939.880659722221</v>
      </c>
    </row>
    <row r="728" spans="1:9">
      <c r="A728" s="40" t="s">
        <v>672</v>
      </c>
      <c r="B728" s="40" t="s">
        <v>673</v>
      </c>
      <c r="C728" s="41">
        <v>45879</v>
      </c>
      <c r="D728" s="42" t="s">
        <v>410</v>
      </c>
      <c r="E728" s="42" t="s">
        <v>411</v>
      </c>
      <c r="F728" s="47">
        <v>72621.23</v>
      </c>
      <c r="G728" s="44">
        <v>46228</v>
      </c>
      <c r="H728" s="45" t="e">
        <f t="shared" si="2"/>
        <v>#N/A</v>
      </c>
      <c r="I728" s="46">
        <v>45939.878541666665</v>
      </c>
    </row>
    <row r="729" spans="1:9">
      <c r="A729" s="40" t="s">
        <v>672</v>
      </c>
      <c r="B729" s="40" t="s">
        <v>673</v>
      </c>
      <c r="C729" s="41">
        <v>45848</v>
      </c>
      <c r="D729" s="42" t="s">
        <v>410</v>
      </c>
      <c r="E729" s="42" t="s">
        <v>411</v>
      </c>
      <c r="F729" s="47">
        <v>63343.75</v>
      </c>
      <c r="G729" s="44">
        <v>46198</v>
      </c>
      <c r="H729" s="45" t="e">
        <f t="shared" si="2"/>
        <v>#N/A</v>
      </c>
      <c r="I729" s="46">
        <v>45939.879004629627</v>
      </c>
    </row>
    <row r="730" spans="1:9">
      <c r="A730" s="40" t="s">
        <v>672</v>
      </c>
      <c r="B730" s="40" t="s">
        <v>673</v>
      </c>
      <c r="C730" s="41">
        <v>45818</v>
      </c>
      <c r="D730" s="42" t="s">
        <v>410</v>
      </c>
      <c r="E730" s="42" t="s">
        <v>411</v>
      </c>
      <c r="F730" s="47">
        <v>63469.52</v>
      </c>
      <c r="G730" s="44">
        <v>46167</v>
      </c>
      <c r="H730" s="45" t="e">
        <f t="shared" si="2"/>
        <v>#N/A</v>
      </c>
      <c r="I730" s="46">
        <v>45939.876574074071</v>
      </c>
    </row>
    <row r="731" spans="1:9">
      <c r="A731" s="40" t="s">
        <v>672</v>
      </c>
      <c r="B731" s="40" t="s">
        <v>673</v>
      </c>
      <c r="C731" s="41">
        <v>45787</v>
      </c>
      <c r="D731" s="42" t="s">
        <v>410</v>
      </c>
      <c r="E731" s="42" t="s">
        <v>411</v>
      </c>
      <c r="F731" s="47">
        <v>68039.55</v>
      </c>
      <c r="G731" s="44">
        <v>46137</v>
      </c>
      <c r="H731" s="45" t="e">
        <f t="shared" si="2"/>
        <v>#N/A</v>
      </c>
      <c r="I731" s="46">
        <v>45939.87572916667</v>
      </c>
    </row>
    <row r="732" spans="1:9">
      <c r="A732" s="40" t="s">
        <v>672</v>
      </c>
      <c r="B732" s="40" t="s">
        <v>673</v>
      </c>
      <c r="C732" s="41">
        <v>45757</v>
      </c>
      <c r="D732" s="42" t="s">
        <v>410</v>
      </c>
      <c r="E732" s="42" t="s">
        <v>411</v>
      </c>
      <c r="F732" s="47">
        <v>58938.82</v>
      </c>
      <c r="G732" s="44">
        <v>46106</v>
      </c>
      <c r="H732" s="45" t="e">
        <f t="shared" si="2"/>
        <v>#N/A</v>
      </c>
      <c r="I732" s="46">
        <v>45939.873564814814</v>
      </c>
    </row>
    <row r="733" spans="1:9">
      <c r="A733" s="40" t="s">
        <v>674</v>
      </c>
      <c r="B733" s="40" t="s">
        <v>675</v>
      </c>
      <c r="C733" s="41">
        <v>46122</v>
      </c>
      <c r="D733" s="42" t="s">
        <v>476</v>
      </c>
      <c r="E733" s="42" t="s">
        <v>411</v>
      </c>
      <c r="F733" s="43"/>
      <c r="G733" s="44">
        <v>46107</v>
      </c>
      <c r="H733" s="45" t="e">
        <f t="shared" si="2"/>
        <v>#N/A</v>
      </c>
      <c r="I733" s="46"/>
    </row>
    <row r="734" spans="1:9">
      <c r="A734" s="40" t="s">
        <v>674</v>
      </c>
      <c r="B734" s="40" t="s">
        <v>675</v>
      </c>
      <c r="C734" s="41">
        <v>46091</v>
      </c>
      <c r="D734" s="42" t="s">
        <v>476</v>
      </c>
      <c r="E734" s="42" t="s">
        <v>411</v>
      </c>
      <c r="F734" s="43"/>
      <c r="G734" s="44">
        <v>46079</v>
      </c>
      <c r="H734" s="45" t="e">
        <f t="shared" si="2"/>
        <v>#N/A</v>
      </c>
      <c r="I734" s="43"/>
    </row>
    <row r="735" spans="1:9">
      <c r="A735" s="40" t="s">
        <v>674</v>
      </c>
      <c r="B735" s="40" t="s">
        <v>675</v>
      </c>
      <c r="C735" s="41">
        <v>46063</v>
      </c>
      <c r="D735" s="42" t="s">
        <v>476</v>
      </c>
      <c r="E735" s="42" t="s">
        <v>411</v>
      </c>
      <c r="F735" s="47">
        <v>1664450.3</v>
      </c>
      <c r="G735" s="44">
        <v>46048</v>
      </c>
      <c r="H735" s="45" t="e">
        <f t="shared" si="2"/>
        <v>#N/A</v>
      </c>
      <c r="I735" s="46">
        <v>46070.605752314812</v>
      </c>
    </row>
    <row r="736" spans="1:9">
      <c r="A736" s="40" t="s">
        <v>674</v>
      </c>
      <c r="B736" s="40" t="s">
        <v>675</v>
      </c>
      <c r="C736" s="41">
        <v>46032</v>
      </c>
      <c r="D736" s="42" t="s">
        <v>476</v>
      </c>
      <c r="E736" s="42" t="s">
        <v>411</v>
      </c>
      <c r="F736" s="47">
        <v>1664830.48</v>
      </c>
      <c r="G736" s="44">
        <v>46381</v>
      </c>
      <c r="H736" s="45" t="e">
        <f t="shared" si="2"/>
        <v>#N/A</v>
      </c>
      <c r="I736" s="46">
        <v>46037.497349537036</v>
      </c>
    </row>
    <row r="737" spans="1:10">
      <c r="A737" s="40" t="s">
        <v>674</v>
      </c>
      <c r="B737" s="40" t="s">
        <v>675</v>
      </c>
      <c r="C737" s="41">
        <v>46001</v>
      </c>
      <c r="D737" s="42" t="s">
        <v>476</v>
      </c>
      <c r="E737" s="42" t="s">
        <v>411</v>
      </c>
      <c r="F737" s="47">
        <v>1076779.6299999999</v>
      </c>
      <c r="G737" s="44">
        <v>46351</v>
      </c>
      <c r="H737" s="45" t="e">
        <f t="shared" si="2"/>
        <v>#N/A</v>
      </c>
      <c r="I737" s="46">
        <v>45999.443148148152</v>
      </c>
      <c r="J737" s="40" t="s">
        <v>676</v>
      </c>
    </row>
    <row r="738" spans="1:10">
      <c r="A738" s="40" t="s">
        <v>674</v>
      </c>
      <c r="B738" s="40" t="s">
        <v>675</v>
      </c>
      <c r="C738" s="41">
        <v>45971</v>
      </c>
      <c r="D738" s="42" t="s">
        <v>476</v>
      </c>
      <c r="E738" s="42" t="s">
        <v>411</v>
      </c>
      <c r="F738" s="47">
        <v>1222198.72</v>
      </c>
      <c r="G738" s="44">
        <v>46320</v>
      </c>
      <c r="H738" s="45" t="e">
        <f t="shared" si="2"/>
        <v>#N/A</v>
      </c>
      <c r="I738" s="46">
        <v>45977.463553240741</v>
      </c>
      <c r="J738" s="40" t="s">
        <v>677</v>
      </c>
    </row>
    <row r="739" spans="1:10">
      <c r="A739" s="40" t="s">
        <v>674</v>
      </c>
      <c r="B739" s="40" t="s">
        <v>675</v>
      </c>
      <c r="C739" s="41">
        <v>45940</v>
      </c>
      <c r="D739" s="42" t="s">
        <v>476</v>
      </c>
      <c r="E739" s="42" t="s">
        <v>411</v>
      </c>
      <c r="F739" s="47">
        <v>1159989.73</v>
      </c>
      <c r="G739" s="44">
        <v>46290</v>
      </c>
      <c r="H739" s="45" t="e">
        <f t="shared" si="2"/>
        <v>#N/A</v>
      </c>
      <c r="I739" s="46">
        <v>45939.708715277775</v>
      </c>
      <c r="J739" s="40" t="s">
        <v>678</v>
      </c>
    </row>
    <row r="740" spans="1:10">
      <c r="A740" s="40" t="s">
        <v>674</v>
      </c>
      <c r="B740" s="40" t="s">
        <v>675</v>
      </c>
      <c r="C740" s="41">
        <v>45910</v>
      </c>
      <c r="D740" s="42" t="s">
        <v>476</v>
      </c>
      <c r="E740" s="42" t="s">
        <v>411</v>
      </c>
      <c r="F740" s="47">
        <v>1195345.22</v>
      </c>
      <c r="G740" s="44">
        <v>46259</v>
      </c>
      <c r="H740" s="45" t="e">
        <f t="shared" si="2"/>
        <v>#N/A</v>
      </c>
      <c r="I740" s="46">
        <v>45939.708506944444</v>
      </c>
    </row>
    <row r="741" spans="1:10">
      <c r="A741" s="40" t="s">
        <v>674</v>
      </c>
      <c r="B741" s="40" t="s">
        <v>675</v>
      </c>
      <c r="C741" s="41">
        <v>45879</v>
      </c>
      <c r="D741" s="42" t="s">
        <v>476</v>
      </c>
      <c r="E741" s="42" t="s">
        <v>411</v>
      </c>
      <c r="F741" s="47">
        <v>1347539.08</v>
      </c>
      <c r="G741" s="44">
        <v>46228</v>
      </c>
      <c r="H741" s="45" t="e">
        <f t="shared" si="2"/>
        <v>#N/A</v>
      </c>
      <c r="I741" s="46">
        <v>45939.708414351851</v>
      </c>
    </row>
    <row r="742" spans="1:10">
      <c r="A742" s="40" t="s">
        <v>674</v>
      </c>
      <c r="B742" s="40" t="s">
        <v>675</v>
      </c>
      <c r="C742" s="41">
        <v>45848</v>
      </c>
      <c r="D742" s="42" t="s">
        <v>476</v>
      </c>
      <c r="E742" s="42" t="s">
        <v>411</v>
      </c>
      <c r="F742" s="47">
        <v>1266013.3899999999</v>
      </c>
      <c r="G742" s="44">
        <v>46198</v>
      </c>
      <c r="H742" s="45" t="e">
        <f t="shared" si="2"/>
        <v>#N/A</v>
      </c>
      <c r="I742" s="46">
        <v>45939.708333333336</v>
      </c>
    </row>
    <row r="743" spans="1:10">
      <c r="A743" s="40" t="s">
        <v>674</v>
      </c>
      <c r="B743" s="40" t="s">
        <v>675</v>
      </c>
      <c r="C743" s="41">
        <v>45818</v>
      </c>
      <c r="D743" s="42" t="s">
        <v>476</v>
      </c>
      <c r="E743" s="42" t="s">
        <v>411</v>
      </c>
      <c r="F743" s="47">
        <v>1441711.61</v>
      </c>
      <c r="G743" s="44">
        <v>46167</v>
      </c>
      <c r="H743" s="45" t="e">
        <f t="shared" si="2"/>
        <v>#N/A</v>
      </c>
      <c r="I743" s="46">
        <v>45939.708252314813</v>
      </c>
    </row>
    <row r="744" spans="1:10">
      <c r="A744" s="40" t="s">
        <v>674</v>
      </c>
      <c r="B744" s="40" t="s">
        <v>675</v>
      </c>
      <c r="C744" s="41">
        <v>45787</v>
      </c>
      <c r="D744" s="42" t="s">
        <v>476</v>
      </c>
      <c r="E744" s="42" t="s">
        <v>411</v>
      </c>
      <c r="F744" s="47">
        <v>1206377.97</v>
      </c>
      <c r="G744" s="44">
        <v>46137</v>
      </c>
      <c r="H744" s="45" t="e">
        <f t="shared" si="2"/>
        <v>#N/A</v>
      </c>
      <c r="I744" s="46">
        <v>45939.708171296297</v>
      </c>
    </row>
    <row r="745" spans="1:10">
      <c r="A745" s="40" t="s">
        <v>674</v>
      </c>
      <c r="B745" s="40" t="s">
        <v>675</v>
      </c>
      <c r="C745" s="41">
        <v>45757</v>
      </c>
      <c r="D745" s="42" t="s">
        <v>476</v>
      </c>
      <c r="E745" s="42" t="s">
        <v>411</v>
      </c>
      <c r="F745" s="47">
        <v>1461046.58</v>
      </c>
      <c r="G745" s="44">
        <v>46106</v>
      </c>
      <c r="H745" s="45" t="e">
        <f t="shared" si="2"/>
        <v>#N/A</v>
      </c>
      <c r="I745" s="46">
        <v>45939.708067129628</v>
      </c>
    </row>
    <row r="746" spans="1:10">
      <c r="A746" s="40" t="s">
        <v>674</v>
      </c>
      <c r="B746" s="40" t="s">
        <v>675</v>
      </c>
      <c r="C746" s="41">
        <v>45726</v>
      </c>
      <c r="D746" s="42" t="s">
        <v>476</v>
      </c>
      <c r="E746" s="42" t="s">
        <v>411</v>
      </c>
      <c r="F746" s="47">
        <v>1307227.06</v>
      </c>
      <c r="G746" s="44">
        <v>46078</v>
      </c>
      <c r="H746" s="45" t="e">
        <f t="shared" si="2"/>
        <v>#N/A</v>
      </c>
      <c r="I746" s="46">
        <v>45939.707962962966</v>
      </c>
    </row>
    <row r="747" spans="1:10">
      <c r="A747" s="40" t="s">
        <v>674</v>
      </c>
      <c r="B747" s="40" t="s">
        <v>675</v>
      </c>
      <c r="C747" s="41">
        <v>45698</v>
      </c>
      <c r="D747" s="42" t="s">
        <v>476</v>
      </c>
      <c r="E747" s="42" t="s">
        <v>411</v>
      </c>
      <c r="F747" s="47">
        <v>1642228.43</v>
      </c>
      <c r="G747" s="44">
        <v>46047</v>
      </c>
      <c r="H747" s="45" t="e">
        <f t="shared" si="2"/>
        <v>#N/A</v>
      </c>
      <c r="I747" s="46">
        <v>45939.707881944443</v>
      </c>
    </row>
    <row r="748" spans="1:10">
      <c r="A748" s="40" t="s">
        <v>679</v>
      </c>
      <c r="B748" s="40" t="s">
        <v>680</v>
      </c>
      <c r="C748" s="41">
        <v>46122</v>
      </c>
      <c r="D748" s="42" t="s">
        <v>476</v>
      </c>
      <c r="E748" s="42" t="s">
        <v>411</v>
      </c>
      <c r="F748" s="43"/>
      <c r="G748" s="44">
        <v>46107</v>
      </c>
      <c r="H748" s="45" t="e">
        <f t="shared" si="2"/>
        <v>#N/A</v>
      </c>
      <c r="I748" s="46"/>
    </row>
    <row r="749" spans="1:10">
      <c r="A749" s="40" t="s">
        <v>679</v>
      </c>
      <c r="B749" s="40" t="s">
        <v>680</v>
      </c>
      <c r="C749" s="41">
        <v>46091</v>
      </c>
      <c r="D749" s="42" t="s">
        <v>476</v>
      </c>
      <c r="E749" s="42" t="s">
        <v>411</v>
      </c>
      <c r="F749" s="43"/>
      <c r="G749" s="44">
        <v>46079</v>
      </c>
      <c r="H749" s="45" t="e">
        <f t="shared" si="2"/>
        <v>#N/A</v>
      </c>
      <c r="I749" s="43"/>
    </row>
    <row r="750" spans="1:10">
      <c r="A750" s="40" t="s">
        <v>679</v>
      </c>
      <c r="B750" s="40" t="s">
        <v>680</v>
      </c>
      <c r="C750" s="41">
        <v>46063</v>
      </c>
      <c r="D750" s="42" t="s">
        <v>476</v>
      </c>
      <c r="E750" s="42" t="s">
        <v>411</v>
      </c>
      <c r="F750" s="47">
        <v>16</v>
      </c>
      <c r="G750" s="44">
        <v>46048</v>
      </c>
      <c r="H750" s="45" t="e">
        <f t="shared" si="2"/>
        <v>#N/A</v>
      </c>
      <c r="I750" s="46">
        <v>46064.705810185187</v>
      </c>
      <c r="J750" s="40" t="s">
        <v>681</v>
      </c>
    </row>
    <row r="751" spans="1:10">
      <c r="A751" s="40" t="s">
        <v>679</v>
      </c>
      <c r="B751" s="40" t="s">
        <v>680</v>
      </c>
      <c r="C751" s="41">
        <v>46032</v>
      </c>
      <c r="D751" s="42" t="s">
        <v>476</v>
      </c>
      <c r="E751" s="42" t="s">
        <v>411</v>
      </c>
      <c r="F751" s="47">
        <v>64.5</v>
      </c>
      <c r="G751" s="44">
        <v>46381</v>
      </c>
      <c r="H751" s="45" t="e">
        <f t="shared" si="2"/>
        <v>#N/A</v>
      </c>
      <c r="I751" s="46">
        <v>46037.630312499998</v>
      </c>
      <c r="J751" s="40" t="s">
        <v>682</v>
      </c>
    </row>
    <row r="752" spans="1:10">
      <c r="A752" s="40" t="s">
        <v>679</v>
      </c>
      <c r="B752" s="40" t="s">
        <v>680</v>
      </c>
      <c r="C752" s="41">
        <v>46001</v>
      </c>
      <c r="D752" s="42" t="s">
        <v>476</v>
      </c>
      <c r="E752" s="42" t="s">
        <v>411</v>
      </c>
      <c r="F752" s="47">
        <v>84.04</v>
      </c>
      <c r="G752" s="44">
        <v>46351</v>
      </c>
      <c r="H752" s="45" t="e">
        <f t="shared" si="2"/>
        <v>#N/A</v>
      </c>
      <c r="I752" s="46">
        <v>46009.644560185188</v>
      </c>
      <c r="J752" s="40" t="s">
        <v>683</v>
      </c>
    </row>
    <row r="753" spans="1:10">
      <c r="A753" s="40" t="s">
        <v>679</v>
      </c>
      <c r="B753" s="40" t="s">
        <v>680</v>
      </c>
      <c r="C753" s="41">
        <v>45971</v>
      </c>
      <c r="D753" s="42" t="s">
        <v>476</v>
      </c>
      <c r="E753" s="42" t="s">
        <v>411</v>
      </c>
      <c r="F753" s="47">
        <v>19.600000000000001</v>
      </c>
      <c r="G753" s="44">
        <v>46320</v>
      </c>
      <c r="H753" s="45" t="e">
        <f t="shared" si="2"/>
        <v>#N/A</v>
      </c>
      <c r="I753" s="46">
        <v>45981.449606481481</v>
      </c>
    </row>
    <row r="754" spans="1:10">
      <c r="A754" s="40" t="s">
        <v>679</v>
      </c>
      <c r="B754" s="40" t="s">
        <v>680</v>
      </c>
      <c r="C754" s="41">
        <v>45940</v>
      </c>
      <c r="D754" s="42" t="s">
        <v>476</v>
      </c>
      <c r="E754" s="42" t="s">
        <v>411</v>
      </c>
      <c r="F754" s="47">
        <v>17.7</v>
      </c>
      <c r="G754" s="44">
        <v>46290</v>
      </c>
      <c r="H754" s="45" t="e">
        <f t="shared" si="2"/>
        <v>#N/A</v>
      </c>
      <c r="I754" s="46">
        <v>45981.449467592596</v>
      </c>
    </row>
    <row r="755" spans="1:10">
      <c r="A755" s="40" t="s">
        <v>679</v>
      </c>
      <c r="B755" s="40" t="s">
        <v>680</v>
      </c>
      <c r="C755" s="41">
        <v>45910</v>
      </c>
      <c r="D755" s="42" t="s">
        <v>476</v>
      </c>
      <c r="E755" s="42" t="s">
        <v>411</v>
      </c>
      <c r="F755" s="47">
        <v>8.5</v>
      </c>
      <c r="G755" s="44">
        <v>46259</v>
      </c>
      <c r="H755" s="45" t="e">
        <f t="shared" si="2"/>
        <v>#N/A</v>
      </c>
      <c r="I755" s="46">
        <v>45981.449282407404</v>
      </c>
    </row>
    <row r="756" spans="1:10">
      <c r="A756" s="40" t="s">
        <v>679</v>
      </c>
      <c r="B756" s="40" t="s">
        <v>680</v>
      </c>
      <c r="C756" s="41">
        <v>45879</v>
      </c>
      <c r="D756" s="42" t="s">
        <v>476</v>
      </c>
      <c r="E756" s="42" t="s">
        <v>411</v>
      </c>
      <c r="F756" s="47">
        <v>0.6</v>
      </c>
      <c r="G756" s="44">
        <v>46228</v>
      </c>
      <c r="H756" s="45" t="e">
        <f t="shared" si="2"/>
        <v>#N/A</v>
      </c>
      <c r="I756" s="46">
        <v>45981.449004629627</v>
      </c>
    </row>
    <row r="757" spans="1:10">
      <c r="A757" s="40" t="s">
        <v>679</v>
      </c>
      <c r="B757" s="40" t="s">
        <v>680</v>
      </c>
      <c r="C757" s="41">
        <v>45848</v>
      </c>
      <c r="D757" s="42" t="s">
        <v>476</v>
      </c>
      <c r="E757" s="42" t="s">
        <v>411</v>
      </c>
      <c r="F757" s="47">
        <v>34.36</v>
      </c>
      <c r="G757" s="44">
        <v>46198</v>
      </c>
      <c r="H757" s="45" t="e">
        <f t="shared" si="2"/>
        <v>#N/A</v>
      </c>
      <c r="I757" s="46">
        <v>45981.44866898148</v>
      </c>
    </row>
    <row r="758" spans="1:10">
      <c r="A758" s="40" t="s">
        <v>679</v>
      </c>
      <c r="B758" s="40" t="s">
        <v>680</v>
      </c>
      <c r="C758" s="41">
        <v>45818</v>
      </c>
      <c r="D758" s="42" t="s">
        <v>476</v>
      </c>
      <c r="E758" s="42" t="s">
        <v>411</v>
      </c>
      <c r="F758" s="47">
        <v>1.31</v>
      </c>
      <c r="G758" s="44">
        <v>46167</v>
      </c>
      <c r="H758" s="45" t="e">
        <f t="shared" si="2"/>
        <v>#N/A</v>
      </c>
      <c r="I758" s="46">
        <v>45981.44809027778</v>
      </c>
      <c r="J758" s="40" t="s">
        <v>684</v>
      </c>
    </row>
    <row r="759" spans="1:10">
      <c r="A759" s="40" t="s">
        <v>679</v>
      </c>
      <c r="B759" s="40" t="s">
        <v>680</v>
      </c>
      <c r="C759" s="41">
        <v>45787</v>
      </c>
      <c r="D759" s="42" t="s">
        <v>476</v>
      </c>
      <c r="E759" s="42" t="s">
        <v>411</v>
      </c>
      <c r="F759" s="47">
        <v>8</v>
      </c>
      <c r="G759" s="44">
        <v>46137</v>
      </c>
      <c r="H759" s="45" t="e">
        <f t="shared" si="2"/>
        <v>#N/A</v>
      </c>
      <c r="I759" s="46">
        <v>45936.650300925925</v>
      </c>
    </row>
    <row r="760" spans="1:10">
      <c r="A760" s="40" t="s">
        <v>679</v>
      </c>
      <c r="B760" s="40" t="s">
        <v>680</v>
      </c>
      <c r="C760" s="41">
        <v>45757</v>
      </c>
      <c r="D760" s="42" t="s">
        <v>476</v>
      </c>
      <c r="E760" s="42" t="s">
        <v>411</v>
      </c>
      <c r="F760" s="47">
        <v>39</v>
      </c>
      <c r="G760" s="44">
        <v>46106</v>
      </c>
      <c r="H760" s="45" t="e">
        <f t="shared" si="2"/>
        <v>#N/A</v>
      </c>
      <c r="I760" s="46">
        <v>45981.450613425928</v>
      </c>
    </row>
    <row r="761" spans="1:10">
      <c r="A761" s="40" t="s">
        <v>679</v>
      </c>
      <c r="B761" s="40" t="s">
        <v>680</v>
      </c>
      <c r="C761" s="41">
        <v>45726</v>
      </c>
      <c r="D761" s="42" t="s">
        <v>476</v>
      </c>
      <c r="E761" s="42" t="s">
        <v>411</v>
      </c>
      <c r="F761" s="47">
        <v>57</v>
      </c>
      <c r="G761" s="44">
        <v>46078</v>
      </c>
      <c r="H761" s="45" t="e">
        <f t="shared" si="2"/>
        <v>#N/A</v>
      </c>
      <c r="I761" s="46">
        <v>45981.450983796298</v>
      </c>
    </row>
    <row r="762" spans="1:10">
      <c r="A762" s="40" t="s">
        <v>679</v>
      </c>
      <c r="B762" s="40" t="s">
        <v>680</v>
      </c>
      <c r="C762" s="41">
        <v>45698</v>
      </c>
      <c r="D762" s="42" t="s">
        <v>476</v>
      </c>
      <c r="E762" s="42" t="s">
        <v>411</v>
      </c>
      <c r="F762" s="47">
        <v>59</v>
      </c>
      <c r="G762" s="44">
        <v>46047</v>
      </c>
      <c r="H762" s="45" t="e">
        <f t="shared" si="2"/>
        <v>#N/A</v>
      </c>
      <c r="I762" s="46">
        <v>45981.451249999998</v>
      </c>
    </row>
    <row r="763" spans="1:10">
      <c r="A763" s="40" t="s">
        <v>685</v>
      </c>
      <c r="B763" s="40" t="s">
        <v>686</v>
      </c>
      <c r="C763" s="41">
        <v>46122</v>
      </c>
      <c r="D763" s="42" t="s">
        <v>476</v>
      </c>
      <c r="E763" s="42" t="s">
        <v>411</v>
      </c>
      <c r="F763" s="43"/>
      <c r="G763" s="44">
        <v>46107</v>
      </c>
      <c r="H763" s="45" t="e">
        <f t="shared" si="2"/>
        <v>#N/A</v>
      </c>
      <c r="I763" s="46"/>
    </row>
    <row r="764" spans="1:10">
      <c r="A764" s="40" t="s">
        <v>685</v>
      </c>
      <c r="B764" s="40" t="s">
        <v>686</v>
      </c>
      <c r="C764" s="41">
        <v>46091</v>
      </c>
      <c r="D764" s="42" t="s">
        <v>476</v>
      </c>
      <c r="E764" s="42" t="s">
        <v>411</v>
      </c>
      <c r="F764" s="43"/>
      <c r="G764" s="44">
        <v>46079</v>
      </c>
      <c r="H764" s="45" t="e">
        <f t="shared" si="2"/>
        <v>#N/A</v>
      </c>
      <c r="I764" s="43"/>
    </row>
    <row r="765" spans="1:10">
      <c r="A765" s="40" t="s">
        <v>685</v>
      </c>
      <c r="B765" s="40" t="s">
        <v>686</v>
      </c>
      <c r="C765" s="41">
        <v>46063</v>
      </c>
      <c r="D765" s="42" t="s">
        <v>476</v>
      </c>
      <c r="E765" s="42" t="s">
        <v>411</v>
      </c>
      <c r="F765" s="47">
        <v>7</v>
      </c>
      <c r="G765" s="44">
        <v>46048</v>
      </c>
      <c r="H765" s="45" t="e">
        <f t="shared" si="2"/>
        <v>#N/A</v>
      </c>
      <c r="I765" s="46">
        <v>46064.758009259262</v>
      </c>
      <c r="J765" s="40" t="s">
        <v>687</v>
      </c>
    </row>
    <row r="766" spans="1:10">
      <c r="A766" s="40" t="s">
        <v>685</v>
      </c>
      <c r="B766" s="40" t="s">
        <v>686</v>
      </c>
      <c r="C766" s="41">
        <v>46032</v>
      </c>
      <c r="D766" s="42" t="s">
        <v>476</v>
      </c>
      <c r="E766" s="42" t="s">
        <v>411</v>
      </c>
      <c r="F766" s="47">
        <v>3</v>
      </c>
      <c r="G766" s="44">
        <v>46381</v>
      </c>
      <c r="H766" s="45" t="e">
        <f t="shared" si="2"/>
        <v>#N/A</v>
      </c>
      <c r="I766" s="46">
        <v>46035.722326388888</v>
      </c>
      <c r="J766" s="40" t="s">
        <v>688</v>
      </c>
    </row>
    <row r="767" spans="1:10">
      <c r="A767" s="40" t="s">
        <v>685</v>
      </c>
      <c r="B767" s="40" t="s">
        <v>686</v>
      </c>
      <c r="C767" s="41">
        <v>46001</v>
      </c>
      <c r="D767" s="42" t="s">
        <v>476</v>
      </c>
      <c r="E767" s="42" t="s">
        <v>411</v>
      </c>
      <c r="F767" s="47">
        <v>15</v>
      </c>
      <c r="G767" s="44">
        <v>46351</v>
      </c>
      <c r="H767" s="45" t="e">
        <f t="shared" ref="H767:H916" si="3">DATE(2000+RIGHT(G767,2),MATCH(LEFT(G767,3),{"jan";"fev";"mar";"abr";"mai";"jun";"jul";"ago";"set";"out";"nov";"dez"},0),1)</f>
        <v>#N/A</v>
      </c>
      <c r="I767" s="46">
        <v>46010.523773148147</v>
      </c>
      <c r="J767" s="40" t="s">
        <v>689</v>
      </c>
    </row>
    <row r="768" spans="1:10">
      <c r="A768" s="40" t="s">
        <v>685</v>
      </c>
      <c r="B768" s="40" t="s">
        <v>686</v>
      </c>
      <c r="C768" s="41">
        <v>45971</v>
      </c>
      <c r="D768" s="42" t="s">
        <v>476</v>
      </c>
      <c r="E768" s="42" t="s">
        <v>411</v>
      </c>
      <c r="F768" s="47">
        <v>-14</v>
      </c>
      <c r="G768" s="44">
        <v>46320</v>
      </c>
      <c r="H768" s="45" t="e">
        <f t="shared" si="3"/>
        <v>#N/A</v>
      </c>
      <c r="I768" s="46">
        <v>45979.581967592596</v>
      </c>
    </row>
    <row r="769" spans="1:10">
      <c r="A769" s="40" t="s">
        <v>685</v>
      </c>
      <c r="B769" s="40" t="s">
        <v>686</v>
      </c>
      <c r="C769" s="41">
        <v>45940</v>
      </c>
      <c r="D769" s="42" t="s">
        <v>476</v>
      </c>
      <c r="E769" s="42" t="s">
        <v>411</v>
      </c>
      <c r="F769" s="47">
        <v>-4</v>
      </c>
      <c r="G769" s="44">
        <v>46290</v>
      </c>
      <c r="H769" s="45" t="e">
        <f t="shared" si="3"/>
        <v>#N/A</v>
      </c>
      <c r="I769" s="46">
        <v>45979.581793981481</v>
      </c>
    </row>
    <row r="770" spans="1:10">
      <c r="A770" s="40" t="s">
        <v>685</v>
      </c>
      <c r="B770" s="40" t="s">
        <v>686</v>
      </c>
      <c r="C770" s="41">
        <v>45910</v>
      </c>
      <c r="D770" s="42" t="s">
        <v>476</v>
      </c>
      <c r="E770" s="42" t="s">
        <v>411</v>
      </c>
      <c r="F770" s="47">
        <v>-5</v>
      </c>
      <c r="G770" s="44">
        <v>46259</v>
      </c>
      <c r="H770" s="45" t="e">
        <f t="shared" si="3"/>
        <v>#N/A</v>
      </c>
      <c r="I770" s="46">
        <v>45979.581655092596</v>
      </c>
    </row>
    <row r="771" spans="1:10">
      <c r="A771" s="40" t="s">
        <v>685</v>
      </c>
      <c r="B771" s="40" t="s">
        <v>686</v>
      </c>
      <c r="C771" s="41">
        <v>45879</v>
      </c>
      <c r="D771" s="42" t="s">
        <v>476</v>
      </c>
      <c r="E771" s="42" t="s">
        <v>411</v>
      </c>
      <c r="F771" s="47">
        <v>19</v>
      </c>
      <c r="G771" s="44">
        <v>46228</v>
      </c>
      <c r="H771" s="45" t="e">
        <f t="shared" si="3"/>
        <v>#N/A</v>
      </c>
      <c r="I771" s="46">
        <v>45936.650289351855</v>
      </c>
    </row>
    <row r="772" spans="1:10">
      <c r="A772" s="40" t="s">
        <v>685</v>
      </c>
      <c r="B772" s="40" t="s">
        <v>686</v>
      </c>
      <c r="C772" s="41">
        <v>45848</v>
      </c>
      <c r="D772" s="42" t="s">
        <v>476</v>
      </c>
      <c r="E772" s="42" t="s">
        <v>411</v>
      </c>
      <c r="F772" s="47">
        <v>-11</v>
      </c>
      <c r="G772" s="44">
        <v>46198</v>
      </c>
      <c r="H772" s="45" t="e">
        <f t="shared" si="3"/>
        <v>#N/A</v>
      </c>
      <c r="I772" s="46">
        <v>45979.581516203703</v>
      </c>
    </row>
    <row r="773" spans="1:10">
      <c r="A773" s="40" t="s">
        <v>685</v>
      </c>
      <c r="B773" s="40" t="s">
        <v>686</v>
      </c>
      <c r="C773" s="41">
        <v>45818</v>
      </c>
      <c r="D773" s="42" t="s">
        <v>476</v>
      </c>
      <c r="E773" s="42" t="s">
        <v>411</v>
      </c>
      <c r="F773" s="47">
        <v>-9</v>
      </c>
      <c r="G773" s="44">
        <v>46167</v>
      </c>
      <c r="H773" s="45" t="e">
        <f t="shared" si="3"/>
        <v>#N/A</v>
      </c>
      <c r="I773" s="46">
        <v>45936.650289351855</v>
      </c>
    </row>
    <row r="774" spans="1:10">
      <c r="A774" s="40" t="s">
        <v>685</v>
      </c>
      <c r="B774" s="40" t="s">
        <v>686</v>
      </c>
      <c r="C774" s="41">
        <v>45787</v>
      </c>
      <c r="D774" s="42" t="s">
        <v>476</v>
      </c>
      <c r="E774" s="42" t="s">
        <v>411</v>
      </c>
      <c r="F774" s="47">
        <v>-1</v>
      </c>
      <c r="G774" s="44">
        <v>46137</v>
      </c>
      <c r="H774" s="45" t="e">
        <f t="shared" si="3"/>
        <v>#N/A</v>
      </c>
      <c r="I774" s="46">
        <v>45936.650289351855</v>
      </c>
    </row>
    <row r="775" spans="1:10">
      <c r="A775" s="40" t="s">
        <v>685</v>
      </c>
      <c r="B775" s="40" t="s">
        <v>686</v>
      </c>
      <c r="C775" s="41">
        <v>45757</v>
      </c>
      <c r="D775" s="42" t="s">
        <v>476</v>
      </c>
      <c r="E775" s="42" t="s">
        <v>411</v>
      </c>
      <c r="F775" s="47">
        <v>-8</v>
      </c>
      <c r="G775" s="44">
        <v>46106</v>
      </c>
      <c r="H775" s="45" t="e">
        <f t="shared" si="3"/>
        <v>#N/A</v>
      </c>
      <c r="I775" s="46">
        <v>45936.650289351855</v>
      </c>
    </row>
    <row r="776" spans="1:10">
      <c r="A776" s="40" t="s">
        <v>690</v>
      </c>
      <c r="B776" s="40" t="s">
        <v>691</v>
      </c>
      <c r="C776" s="41">
        <v>46122</v>
      </c>
      <c r="D776" s="42" t="s">
        <v>476</v>
      </c>
      <c r="E776" s="42" t="s">
        <v>411</v>
      </c>
      <c r="F776" s="43"/>
      <c r="G776" s="44">
        <v>46107</v>
      </c>
      <c r="H776" s="45" t="e">
        <f t="shared" si="3"/>
        <v>#N/A</v>
      </c>
      <c r="I776" s="46"/>
    </row>
    <row r="777" spans="1:10">
      <c r="A777" s="40" t="s">
        <v>690</v>
      </c>
      <c r="B777" s="40" t="s">
        <v>691</v>
      </c>
      <c r="C777" s="41">
        <v>46091</v>
      </c>
      <c r="D777" s="42" t="s">
        <v>476</v>
      </c>
      <c r="E777" s="42" t="s">
        <v>411</v>
      </c>
      <c r="F777" s="43"/>
      <c r="G777" s="44">
        <v>46079</v>
      </c>
      <c r="H777" s="45" t="e">
        <f t="shared" si="3"/>
        <v>#N/A</v>
      </c>
      <c r="I777" s="43"/>
    </row>
    <row r="778" spans="1:10">
      <c r="A778" s="40" t="s">
        <v>690</v>
      </c>
      <c r="B778" s="40" t="s">
        <v>691</v>
      </c>
      <c r="C778" s="41">
        <v>46063</v>
      </c>
      <c r="D778" s="42" t="s">
        <v>476</v>
      </c>
      <c r="E778" s="42" t="s">
        <v>411</v>
      </c>
      <c r="F778" s="47">
        <v>9</v>
      </c>
      <c r="G778" s="44">
        <v>46048</v>
      </c>
      <c r="H778" s="45" t="e">
        <f t="shared" si="3"/>
        <v>#N/A</v>
      </c>
      <c r="I778" s="46">
        <v>46064.758460648147</v>
      </c>
      <c r="J778" s="40" t="s">
        <v>692</v>
      </c>
    </row>
    <row r="779" spans="1:10">
      <c r="A779" s="40" t="s">
        <v>690</v>
      </c>
      <c r="B779" s="40" t="s">
        <v>691</v>
      </c>
      <c r="C779" s="41">
        <v>46032</v>
      </c>
      <c r="D779" s="42" t="s">
        <v>476</v>
      </c>
      <c r="E779" s="42" t="s">
        <v>411</v>
      </c>
      <c r="F779" s="47">
        <v>7</v>
      </c>
      <c r="G779" s="44">
        <v>46381</v>
      </c>
      <c r="H779" s="45" t="e">
        <f t="shared" si="3"/>
        <v>#N/A</v>
      </c>
      <c r="I779" s="46">
        <v>46035.723321759258</v>
      </c>
      <c r="J779" s="40" t="s">
        <v>693</v>
      </c>
    </row>
    <row r="780" spans="1:10">
      <c r="A780" s="40" t="s">
        <v>690</v>
      </c>
      <c r="B780" s="40" t="s">
        <v>691</v>
      </c>
      <c r="C780" s="41">
        <v>46001</v>
      </c>
      <c r="D780" s="42" t="s">
        <v>476</v>
      </c>
      <c r="E780" s="42" t="s">
        <v>411</v>
      </c>
      <c r="F780" s="47">
        <v>17</v>
      </c>
      <c r="G780" s="44">
        <v>46351</v>
      </c>
      <c r="H780" s="45" t="e">
        <f t="shared" si="3"/>
        <v>#N/A</v>
      </c>
      <c r="I780" s="46">
        <v>46010.524444444447</v>
      </c>
      <c r="J780" s="40" t="s">
        <v>694</v>
      </c>
    </row>
    <row r="781" spans="1:10">
      <c r="A781" s="40" t="s">
        <v>690</v>
      </c>
      <c r="B781" s="40" t="s">
        <v>691</v>
      </c>
      <c r="C781" s="41">
        <v>45971</v>
      </c>
      <c r="D781" s="42" t="s">
        <v>476</v>
      </c>
      <c r="E781" s="42" t="s">
        <v>411</v>
      </c>
      <c r="F781" s="47">
        <v>-15</v>
      </c>
      <c r="G781" s="44">
        <v>46320</v>
      </c>
      <c r="H781" s="45" t="e">
        <f t="shared" si="3"/>
        <v>#N/A</v>
      </c>
      <c r="I781" s="46">
        <v>45979.58284722222</v>
      </c>
    </row>
    <row r="782" spans="1:10">
      <c r="A782" s="40" t="s">
        <v>690</v>
      </c>
      <c r="B782" s="40" t="s">
        <v>691</v>
      </c>
      <c r="C782" s="41">
        <v>45940</v>
      </c>
      <c r="D782" s="42" t="s">
        <v>476</v>
      </c>
      <c r="E782" s="42" t="s">
        <v>411</v>
      </c>
      <c r="F782" s="47">
        <v>-3</v>
      </c>
      <c r="G782" s="44">
        <v>46290</v>
      </c>
      <c r="H782" s="45" t="e">
        <f t="shared" si="3"/>
        <v>#N/A</v>
      </c>
      <c r="I782" s="46">
        <v>45979.582708333335</v>
      </c>
    </row>
    <row r="783" spans="1:10">
      <c r="A783" s="40" t="s">
        <v>690</v>
      </c>
      <c r="B783" s="40" t="s">
        <v>691</v>
      </c>
      <c r="C783" s="41">
        <v>45910</v>
      </c>
      <c r="D783" s="42" t="s">
        <v>476</v>
      </c>
      <c r="E783" s="42" t="s">
        <v>411</v>
      </c>
      <c r="F783" s="47">
        <v>-1</v>
      </c>
      <c r="G783" s="44">
        <v>46259</v>
      </c>
      <c r="H783" s="45" t="e">
        <f t="shared" si="3"/>
        <v>#N/A</v>
      </c>
      <c r="I783" s="46">
        <v>45979.58252314815</v>
      </c>
    </row>
    <row r="784" spans="1:10">
      <c r="A784" s="40" t="s">
        <v>690</v>
      </c>
      <c r="B784" s="40" t="s">
        <v>691</v>
      </c>
      <c r="C784" s="41">
        <v>45879</v>
      </c>
      <c r="D784" s="42" t="s">
        <v>476</v>
      </c>
      <c r="E784" s="42" t="s">
        <v>411</v>
      </c>
      <c r="F784" s="47">
        <v>0.19</v>
      </c>
      <c r="G784" s="44">
        <v>46228</v>
      </c>
      <c r="H784" s="45" t="e">
        <f t="shared" si="3"/>
        <v>#N/A</v>
      </c>
      <c r="I784" s="46">
        <v>45936.650300925925</v>
      </c>
    </row>
    <row r="785" spans="1:10">
      <c r="A785" s="40" t="s">
        <v>690</v>
      </c>
      <c r="B785" s="40" t="s">
        <v>691</v>
      </c>
      <c r="C785" s="41">
        <v>45848</v>
      </c>
      <c r="D785" s="42" t="s">
        <v>476</v>
      </c>
      <c r="E785" s="42" t="s">
        <v>411</v>
      </c>
      <c r="F785" s="47">
        <v>2</v>
      </c>
      <c r="G785" s="44">
        <v>46198</v>
      </c>
      <c r="H785" s="45" t="e">
        <f t="shared" si="3"/>
        <v>#N/A</v>
      </c>
      <c r="I785" s="46">
        <v>45936.650300925925</v>
      </c>
    </row>
    <row r="786" spans="1:10">
      <c r="A786" s="40" t="s">
        <v>690</v>
      </c>
      <c r="B786" s="40" t="s">
        <v>691</v>
      </c>
      <c r="C786" s="41">
        <v>45818</v>
      </c>
      <c r="D786" s="42" t="s">
        <v>476</v>
      </c>
      <c r="E786" s="42" t="s">
        <v>411</v>
      </c>
      <c r="F786" s="47">
        <v>-2</v>
      </c>
      <c r="G786" s="44">
        <v>46167</v>
      </c>
      <c r="H786" s="45" t="e">
        <f t="shared" si="3"/>
        <v>#N/A</v>
      </c>
      <c r="I786" s="46">
        <v>45936.650289351855</v>
      </c>
    </row>
    <row r="787" spans="1:10">
      <c r="A787" s="40" t="s">
        <v>690</v>
      </c>
      <c r="B787" s="40" t="s">
        <v>691</v>
      </c>
      <c r="C787" s="41">
        <v>45787</v>
      </c>
      <c r="D787" s="42" t="s">
        <v>476</v>
      </c>
      <c r="E787" s="42" t="s">
        <v>411</v>
      </c>
      <c r="F787" s="47">
        <v>5</v>
      </c>
      <c r="G787" s="44">
        <v>46137</v>
      </c>
      <c r="H787" s="45" t="e">
        <f t="shared" si="3"/>
        <v>#N/A</v>
      </c>
      <c r="I787" s="46">
        <v>45936.650289351855</v>
      </c>
    </row>
    <row r="788" spans="1:10">
      <c r="A788" s="40" t="s">
        <v>690</v>
      </c>
      <c r="B788" s="40" t="s">
        <v>691</v>
      </c>
      <c r="C788" s="41">
        <v>45757</v>
      </c>
      <c r="D788" s="42" t="s">
        <v>476</v>
      </c>
      <c r="E788" s="42" t="s">
        <v>411</v>
      </c>
      <c r="F788" s="47">
        <v>1</v>
      </c>
      <c r="G788" s="44">
        <v>46106</v>
      </c>
      <c r="H788" s="45" t="e">
        <f t="shared" si="3"/>
        <v>#N/A</v>
      </c>
      <c r="I788" s="46">
        <v>45936.650289351855</v>
      </c>
    </row>
    <row r="789" spans="1:10">
      <c r="A789" s="40" t="s">
        <v>695</v>
      </c>
      <c r="B789" s="40" t="s">
        <v>696</v>
      </c>
      <c r="C789" s="41">
        <v>46122</v>
      </c>
      <c r="D789" s="42" t="s">
        <v>410</v>
      </c>
      <c r="E789" s="42" t="s">
        <v>411</v>
      </c>
      <c r="F789" s="43"/>
      <c r="G789" s="44">
        <v>46107</v>
      </c>
      <c r="H789" s="45" t="e">
        <f t="shared" si="3"/>
        <v>#N/A</v>
      </c>
      <c r="I789" s="46"/>
    </row>
    <row r="790" spans="1:10">
      <c r="A790" s="40" t="s">
        <v>695</v>
      </c>
      <c r="B790" s="40" t="s">
        <v>696</v>
      </c>
      <c r="C790" s="41">
        <v>46091</v>
      </c>
      <c r="D790" s="42" t="s">
        <v>410</v>
      </c>
      <c r="E790" s="42" t="s">
        <v>411</v>
      </c>
      <c r="F790" s="43"/>
      <c r="G790" s="44">
        <v>46079</v>
      </c>
      <c r="H790" s="45" t="e">
        <f t="shared" si="3"/>
        <v>#N/A</v>
      </c>
      <c r="I790" s="43"/>
    </row>
    <row r="791" spans="1:10">
      <c r="A791" s="40" t="s">
        <v>695</v>
      </c>
      <c r="B791" s="40" t="s">
        <v>696</v>
      </c>
      <c r="C791" s="41">
        <v>46063</v>
      </c>
      <c r="D791" s="42" t="s">
        <v>410</v>
      </c>
      <c r="E791" s="42" t="s">
        <v>411</v>
      </c>
      <c r="F791" s="47">
        <v>477906.29</v>
      </c>
      <c r="G791" s="44">
        <v>46048</v>
      </c>
      <c r="H791" s="45" t="e">
        <f t="shared" si="3"/>
        <v>#N/A</v>
      </c>
      <c r="I791" s="46">
        <v>46078.670231481483</v>
      </c>
      <c r="J791" s="40" t="s">
        <v>697</v>
      </c>
    </row>
    <row r="792" spans="1:10">
      <c r="A792" s="40" t="s">
        <v>695</v>
      </c>
      <c r="B792" s="40" t="s">
        <v>696</v>
      </c>
      <c r="C792" s="41">
        <v>46032</v>
      </c>
      <c r="D792" s="42" t="s">
        <v>410</v>
      </c>
      <c r="E792" s="42" t="s">
        <v>411</v>
      </c>
      <c r="F792" s="47">
        <v>559831.87</v>
      </c>
      <c r="G792" s="44">
        <v>46381</v>
      </c>
      <c r="H792" s="45" t="e">
        <f t="shared" si="3"/>
        <v>#N/A</v>
      </c>
      <c r="I792" s="46">
        <v>46035.572384259256</v>
      </c>
      <c r="J792" s="40" t="s">
        <v>698</v>
      </c>
    </row>
    <row r="793" spans="1:10">
      <c r="A793" s="40" t="s">
        <v>695</v>
      </c>
      <c r="B793" s="40" t="s">
        <v>696</v>
      </c>
      <c r="C793" s="41">
        <v>46001</v>
      </c>
      <c r="D793" s="42" t="s">
        <v>410</v>
      </c>
      <c r="E793" s="42" t="s">
        <v>411</v>
      </c>
      <c r="F793" s="47">
        <v>497258.66</v>
      </c>
      <c r="G793" s="44">
        <v>46351</v>
      </c>
      <c r="H793" s="45" t="e">
        <f t="shared" si="3"/>
        <v>#N/A</v>
      </c>
      <c r="I793" s="46">
        <v>46007.457662037035</v>
      </c>
      <c r="J793" s="40" t="s">
        <v>699</v>
      </c>
    </row>
    <row r="794" spans="1:10">
      <c r="A794" s="40" t="s">
        <v>695</v>
      </c>
      <c r="B794" s="40" t="s">
        <v>696</v>
      </c>
      <c r="C794" s="41">
        <v>45971</v>
      </c>
      <c r="D794" s="42" t="s">
        <v>410</v>
      </c>
      <c r="E794" s="42" t="s">
        <v>411</v>
      </c>
      <c r="F794" s="47">
        <v>433369.89</v>
      </c>
      <c r="G794" s="44">
        <v>46320</v>
      </c>
      <c r="H794" s="45" t="e">
        <f t="shared" si="3"/>
        <v>#N/A</v>
      </c>
      <c r="I794" s="46">
        <v>45982.436400462961</v>
      </c>
      <c r="J794" s="40" t="s">
        <v>700</v>
      </c>
    </row>
    <row r="795" spans="1:10">
      <c r="A795" s="40" t="s">
        <v>695</v>
      </c>
      <c r="B795" s="40" t="s">
        <v>696</v>
      </c>
      <c r="C795" s="41">
        <v>45940</v>
      </c>
      <c r="D795" s="42" t="s">
        <v>410</v>
      </c>
      <c r="E795" s="42" t="s">
        <v>411</v>
      </c>
      <c r="F795" s="47">
        <v>392283.48</v>
      </c>
      <c r="G795" s="44">
        <v>46290</v>
      </c>
      <c r="H795" s="45" t="e">
        <f t="shared" si="3"/>
        <v>#N/A</v>
      </c>
      <c r="I795" s="46">
        <v>45982.433912037035</v>
      </c>
      <c r="J795" s="40" t="s">
        <v>701</v>
      </c>
    </row>
    <row r="796" spans="1:10">
      <c r="A796" s="40" t="s">
        <v>695</v>
      </c>
      <c r="B796" s="40" t="s">
        <v>696</v>
      </c>
      <c r="C796" s="41">
        <v>45910</v>
      </c>
      <c r="D796" s="42" t="s">
        <v>410</v>
      </c>
      <c r="E796" s="42" t="s">
        <v>411</v>
      </c>
      <c r="F796" s="47">
        <v>395281.89</v>
      </c>
      <c r="G796" s="44">
        <v>46259</v>
      </c>
      <c r="H796" s="45" t="e">
        <f t="shared" si="3"/>
        <v>#N/A</v>
      </c>
      <c r="I796" s="46">
        <v>45982.43409722222</v>
      </c>
      <c r="J796" s="40" t="s">
        <v>702</v>
      </c>
    </row>
    <row r="797" spans="1:10">
      <c r="A797" s="40" t="s">
        <v>695</v>
      </c>
      <c r="B797" s="40" t="s">
        <v>696</v>
      </c>
      <c r="C797" s="41">
        <v>45879</v>
      </c>
      <c r="D797" s="42" t="s">
        <v>410</v>
      </c>
      <c r="E797" s="42" t="s">
        <v>411</v>
      </c>
      <c r="F797" s="47">
        <v>544204.16</v>
      </c>
      <c r="G797" s="44">
        <v>46228</v>
      </c>
      <c r="H797" s="45" t="e">
        <f t="shared" si="3"/>
        <v>#N/A</v>
      </c>
      <c r="I797" s="46">
        <v>45936.652349537035</v>
      </c>
    </row>
    <row r="798" spans="1:10">
      <c r="A798" s="40" t="s">
        <v>695</v>
      </c>
      <c r="B798" s="40" t="s">
        <v>696</v>
      </c>
      <c r="C798" s="41">
        <v>45848</v>
      </c>
      <c r="D798" s="42" t="s">
        <v>410</v>
      </c>
      <c r="E798" s="42" t="s">
        <v>411</v>
      </c>
      <c r="F798" s="47">
        <v>557043.77</v>
      </c>
      <c r="G798" s="44">
        <v>46198</v>
      </c>
      <c r="H798" s="45" t="e">
        <f t="shared" si="3"/>
        <v>#N/A</v>
      </c>
      <c r="I798" s="46">
        <v>45936.652349537035</v>
      </c>
    </row>
    <row r="799" spans="1:10">
      <c r="A799" s="40" t="s">
        <v>695</v>
      </c>
      <c r="B799" s="40" t="s">
        <v>696</v>
      </c>
      <c r="C799" s="41">
        <v>45818</v>
      </c>
      <c r="D799" s="42" t="s">
        <v>410</v>
      </c>
      <c r="E799" s="42" t="s">
        <v>411</v>
      </c>
      <c r="F799" s="47">
        <v>584115.14</v>
      </c>
      <c r="G799" s="44">
        <v>46167</v>
      </c>
      <c r="H799" s="45" t="e">
        <f t="shared" si="3"/>
        <v>#N/A</v>
      </c>
      <c r="I799" s="46">
        <v>45936.652349537035</v>
      </c>
    </row>
    <row r="800" spans="1:10">
      <c r="A800" s="40" t="s">
        <v>695</v>
      </c>
      <c r="B800" s="40" t="s">
        <v>696</v>
      </c>
      <c r="C800" s="41">
        <v>45787</v>
      </c>
      <c r="D800" s="42" t="s">
        <v>410</v>
      </c>
      <c r="E800" s="42" t="s">
        <v>411</v>
      </c>
      <c r="F800" s="47">
        <v>488571.46</v>
      </c>
      <c r="G800" s="44">
        <v>46137</v>
      </c>
      <c r="H800" s="45" t="e">
        <f t="shared" si="3"/>
        <v>#N/A</v>
      </c>
      <c r="I800" s="46">
        <v>45936.652349537035</v>
      </c>
    </row>
    <row r="801" spans="1:10">
      <c r="A801" s="40" t="s">
        <v>695</v>
      </c>
      <c r="B801" s="40" t="s">
        <v>696</v>
      </c>
      <c r="C801" s="41">
        <v>45757</v>
      </c>
      <c r="D801" s="42" t="s">
        <v>410</v>
      </c>
      <c r="E801" s="42" t="s">
        <v>411</v>
      </c>
      <c r="F801" s="47">
        <v>485255.75</v>
      </c>
      <c r="G801" s="44">
        <v>46106</v>
      </c>
      <c r="H801" s="45" t="e">
        <f t="shared" si="3"/>
        <v>#N/A</v>
      </c>
      <c r="I801" s="46">
        <v>45936.652349537035</v>
      </c>
    </row>
    <row r="802" spans="1:10">
      <c r="A802" s="40" t="s">
        <v>703</v>
      </c>
      <c r="B802" s="40" t="s">
        <v>704</v>
      </c>
      <c r="C802" s="41">
        <v>46122</v>
      </c>
      <c r="D802" s="42" t="s">
        <v>490</v>
      </c>
      <c r="E802" s="42" t="s">
        <v>411</v>
      </c>
      <c r="F802" s="43"/>
      <c r="G802" s="44">
        <v>46107</v>
      </c>
      <c r="H802" s="45" t="e">
        <f t="shared" si="3"/>
        <v>#N/A</v>
      </c>
      <c r="I802" s="46"/>
    </row>
    <row r="803" spans="1:10">
      <c r="A803" s="40" t="s">
        <v>703</v>
      </c>
      <c r="B803" s="40" t="s">
        <v>704</v>
      </c>
      <c r="C803" s="41">
        <v>46091</v>
      </c>
      <c r="D803" s="42" t="s">
        <v>490</v>
      </c>
      <c r="E803" s="42" t="s">
        <v>411</v>
      </c>
      <c r="F803" s="43"/>
      <c r="G803" s="44">
        <v>46079</v>
      </c>
      <c r="H803" s="45" t="e">
        <f t="shared" si="3"/>
        <v>#N/A</v>
      </c>
      <c r="I803" s="43"/>
    </row>
    <row r="804" spans="1:10">
      <c r="A804" s="40" t="s">
        <v>703</v>
      </c>
      <c r="B804" s="40" t="s">
        <v>704</v>
      </c>
      <c r="C804" s="41">
        <v>46063</v>
      </c>
      <c r="D804" s="42" t="s">
        <v>490</v>
      </c>
      <c r="E804" s="42" t="s">
        <v>411</v>
      </c>
      <c r="F804" s="47">
        <v>3.7</v>
      </c>
      <c r="G804" s="44">
        <v>46048</v>
      </c>
      <c r="H804" s="45" t="e">
        <f t="shared" si="3"/>
        <v>#N/A</v>
      </c>
      <c r="I804" s="46">
        <v>46064.725694444445</v>
      </c>
      <c r="J804" s="40" t="s">
        <v>705</v>
      </c>
    </row>
    <row r="805" spans="1:10">
      <c r="A805" s="40" t="s">
        <v>703</v>
      </c>
      <c r="B805" s="40" t="s">
        <v>704</v>
      </c>
      <c r="C805" s="41">
        <v>46032</v>
      </c>
      <c r="D805" s="42" t="s">
        <v>490</v>
      </c>
      <c r="E805" s="42" t="s">
        <v>411</v>
      </c>
      <c r="F805" s="47">
        <v>8.11</v>
      </c>
      <c r="G805" s="44">
        <v>46381</v>
      </c>
      <c r="H805" s="45" t="e">
        <f t="shared" si="3"/>
        <v>#N/A</v>
      </c>
      <c r="I805" s="46">
        <v>46031.750868055555</v>
      </c>
      <c r="J805" s="40" t="s">
        <v>706</v>
      </c>
    </row>
    <row r="806" spans="1:10">
      <c r="A806" s="40" t="s">
        <v>703</v>
      </c>
      <c r="B806" s="40" t="s">
        <v>704</v>
      </c>
      <c r="C806" s="41">
        <v>46001</v>
      </c>
      <c r="D806" s="42" t="s">
        <v>490</v>
      </c>
      <c r="E806" s="42" t="s">
        <v>411</v>
      </c>
      <c r="F806" s="47">
        <v>4.72</v>
      </c>
      <c r="G806" s="44">
        <v>46351</v>
      </c>
      <c r="H806" s="45" t="e">
        <f t="shared" si="3"/>
        <v>#N/A</v>
      </c>
      <c r="I806" s="46">
        <v>46006.752881944441</v>
      </c>
      <c r="J806" s="40" t="s">
        <v>707</v>
      </c>
    </row>
    <row r="807" spans="1:10">
      <c r="A807" s="40" t="s">
        <v>703</v>
      </c>
      <c r="B807" s="40" t="s">
        <v>704</v>
      </c>
      <c r="C807" s="41">
        <v>45971</v>
      </c>
      <c r="D807" s="42" t="s">
        <v>490</v>
      </c>
      <c r="E807" s="42" t="s">
        <v>411</v>
      </c>
      <c r="F807" s="47">
        <v>8</v>
      </c>
      <c r="G807" s="44">
        <v>46320</v>
      </c>
      <c r="H807" s="45" t="e">
        <f t="shared" si="3"/>
        <v>#N/A</v>
      </c>
      <c r="I807" s="46">
        <v>46006.753078703703</v>
      </c>
      <c r="J807" s="40" t="s">
        <v>708</v>
      </c>
    </row>
    <row r="808" spans="1:10">
      <c r="A808" s="40" t="s">
        <v>703</v>
      </c>
      <c r="B808" s="40" t="s">
        <v>704</v>
      </c>
      <c r="C808" s="41">
        <v>45940</v>
      </c>
      <c r="D808" s="42" t="s">
        <v>490</v>
      </c>
      <c r="E808" s="42" t="s">
        <v>411</v>
      </c>
      <c r="F808" s="47">
        <v>2.8</v>
      </c>
      <c r="G808" s="44">
        <v>46290</v>
      </c>
      <c r="H808" s="45" t="e">
        <f t="shared" si="3"/>
        <v>#N/A</v>
      </c>
      <c r="I808" s="46">
        <v>45974.773634259262</v>
      </c>
    </row>
    <row r="809" spans="1:10">
      <c r="A809" s="40" t="s">
        <v>703</v>
      </c>
      <c r="B809" s="40" t="s">
        <v>704</v>
      </c>
      <c r="C809" s="41">
        <v>45910</v>
      </c>
      <c r="D809" s="42" t="s">
        <v>490</v>
      </c>
      <c r="E809" s="42" t="s">
        <v>411</v>
      </c>
      <c r="F809" s="47">
        <v>2.86</v>
      </c>
      <c r="G809" s="44">
        <v>46259</v>
      </c>
      <c r="H809" s="45" t="e">
        <f t="shared" si="3"/>
        <v>#N/A</v>
      </c>
      <c r="I809" s="46">
        <v>45974.773495370369</v>
      </c>
    </row>
    <row r="810" spans="1:10">
      <c r="A810" s="40" t="s">
        <v>703</v>
      </c>
      <c r="B810" s="40" t="s">
        <v>704</v>
      </c>
      <c r="C810" s="41">
        <v>45879</v>
      </c>
      <c r="D810" s="42" t="s">
        <v>490</v>
      </c>
      <c r="E810" s="42" t="s">
        <v>411</v>
      </c>
      <c r="F810" s="47">
        <v>1.89</v>
      </c>
      <c r="G810" s="44">
        <v>46228</v>
      </c>
      <c r="H810" s="45" t="e">
        <f t="shared" si="3"/>
        <v>#N/A</v>
      </c>
      <c r="I810" s="46">
        <v>45938.713912037034</v>
      </c>
    </row>
    <row r="811" spans="1:10">
      <c r="A811" s="40" t="s">
        <v>703</v>
      </c>
      <c r="B811" s="40" t="s">
        <v>704</v>
      </c>
      <c r="C811" s="41">
        <v>45848</v>
      </c>
      <c r="D811" s="42" t="s">
        <v>490</v>
      </c>
      <c r="E811" s="42" t="s">
        <v>411</v>
      </c>
      <c r="F811" s="47">
        <v>4.8099999999999996</v>
      </c>
      <c r="G811" s="44">
        <v>46198</v>
      </c>
      <c r="H811" s="45" t="e">
        <f t="shared" si="3"/>
        <v>#N/A</v>
      </c>
      <c r="I811" s="46">
        <v>45938.713912037034</v>
      </c>
    </row>
    <row r="812" spans="1:10">
      <c r="A812" s="40" t="s">
        <v>703</v>
      </c>
      <c r="B812" s="40" t="s">
        <v>704</v>
      </c>
      <c r="C812" s="41">
        <v>45818</v>
      </c>
      <c r="D812" s="42" t="s">
        <v>490</v>
      </c>
      <c r="E812" s="42" t="s">
        <v>411</v>
      </c>
      <c r="F812" s="47">
        <v>3.81</v>
      </c>
      <c r="G812" s="44">
        <v>46167</v>
      </c>
      <c r="H812" s="45" t="e">
        <f t="shared" si="3"/>
        <v>#N/A</v>
      </c>
      <c r="I812" s="46">
        <v>45938.713912037034</v>
      </c>
    </row>
    <row r="813" spans="1:10">
      <c r="A813" s="40" t="s">
        <v>703</v>
      </c>
      <c r="B813" s="40" t="s">
        <v>704</v>
      </c>
      <c r="C813" s="41">
        <v>45787</v>
      </c>
      <c r="D813" s="42" t="s">
        <v>490</v>
      </c>
      <c r="E813" s="42" t="s">
        <v>411</v>
      </c>
      <c r="F813" s="47">
        <v>6.48</v>
      </c>
      <c r="G813" s="44">
        <v>46137</v>
      </c>
      <c r="H813" s="45" t="e">
        <f t="shared" si="3"/>
        <v>#N/A</v>
      </c>
      <c r="I813" s="46">
        <v>45938.713912037034</v>
      </c>
    </row>
    <row r="814" spans="1:10">
      <c r="A814" s="40" t="s">
        <v>703</v>
      </c>
      <c r="B814" s="40" t="s">
        <v>704</v>
      </c>
      <c r="C814" s="41">
        <v>45757</v>
      </c>
      <c r="D814" s="42" t="s">
        <v>490</v>
      </c>
      <c r="E814" s="42" t="s">
        <v>411</v>
      </c>
      <c r="F814" s="47">
        <v>1.89</v>
      </c>
      <c r="G814" s="44">
        <v>46106</v>
      </c>
      <c r="H814" s="45" t="e">
        <f t="shared" si="3"/>
        <v>#N/A</v>
      </c>
      <c r="I814" s="46">
        <v>45938.713912037034</v>
      </c>
    </row>
    <row r="815" spans="1:10">
      <c r="A815" s="40" t="s">
        <v>709</v>
      </c>
      <c r="B815" s="40" t="s">
        <v>710</v>
      </c>
      <c r="C815" s="41">
        <v>46122</v>
      </c>
      <c r="D815" s="42" t="s">
        <v>410</v>
      </c>
      <c r="E815" s="42" t="s">
        <v>411</v>
      </c>
      <c r="F815" s="43"/>
      <c r="G815" s="44">
        <v>46107</v>
      </c>
      <c r="H815" s="45" t="e">
        <f t="shared" si="3"/>
        <v>#N/A</v>
      </c>
      <c r="I815" s="46"/>
    </row>
    <row r="816" spans="1:10">
      <c r="A816" s="40" t="s">
        <v>709</v>
      </c>
      <c r="B816" s="40" t="s">
        <v>710</v>
      </c>
      <c r="C816" s="41">
        <v>46091</v>
      </c>
      <c r="D816" s="42" t="s">
        <v>410</v>
      </c>
      <c r="E816" s="42" t="s">
        <v>411</v>
      </c>
      <c r="F816" s="43"/>
      <c r="G816" s="44">
        <v>46079</v>
      </c>
      <c r="H816" s="45" t="e">
        <f t="shared" si="3"/>
        <v>#N/A</v>
      </c>
      <c r="I816" s="43"/>
    </row>
    <row r="817" spans="1:10">
      <c r="A817" s="40" t="s">
        <v>709</v>
      </c>
      <c r="B817" s="40" t="s">
        <v>710</v>
      </c>
      <c r="C817" s="41">
        <v>46063</v>
      </c>
      <c r="D817" s="42" t="s">
        <v>410</v>
      </c>
      <c r="E817" s="42" t="s">
        <v>411</v>
      </c>
      <c r="F817" s="47">
        <v>1337087.93</v>
      </c>
      <c r="G817" s="44">
        <v>46048</v>
      </c>
      <c r="H817" s="45" t="e">
        <f t="shared" si="3"/>
        <v>#N/A</v>
      </c>
      <c r="I817" s="46">
        <v>46070.625138888892</v>
      </c>
    </row>
    <row r="818" spans="1:10">
      <c r="A818" s="40" t="s">
        <v>709</v>
      </c>
      <c r="B818" s="40" t="s">
        <v>710</v>
      </c>
      <c r="C818" s="41">
        <v>46032</v>
      </c>
      <c r="D818" s="42" t="s">
        <v>410</v>
      </c>
      <c r="E818" s="42" t="s">
        <v>411</v>
      </c>
      <c r="F818" s="47">
        <v>1212300.04</v>
      </c>
      <c r="G818" s="44">
        <v>46381</v>
      </c>
      <c r="H818" s="45" t="e">
        <f t="shared" si="3"/>
        <v>#N/A</v>
      </c>
      <c r="I818" s="46">
        <v>46041.555983796294</v>
      </c>
    </row>
    <row r="819" spans="1:10">
      <c r="A819" s="40" t="s">
        <v>709</v>
      </c>
      <c r="B819" s="40" t="s">
        <v>710</v>
      </c>
      <c r="C819" s="41">
        <v>46001</v>
      </c>
      <c r="D819" s="42" t="s">
        <v>410</v>
      </c>
      <c r="E819" s="42" t="s">
        <v>411</v>
      </c>
      <c r="F819" s="47">
        <v>983637.94</v>
      </c>
      <c r="G819" s="44">
        <v>46351</v>
      </c>
      <c r="H819" s="45" t="e">
        <f t="shared" si="3"/>
        <v>#N/A</v>
      </c>
      <c r="I819" s="46">
        <v>46002.879999999997</v>
      </c>
    </row>
    <row r="820" spans="1:10">
      <c r="A820" s="40" t="s">
        <v>709</v>
      </c>
      <c r="B820" s="40" t="s">
        <v>710</v>
      </c>
      <c r="C820" s="41">
        <v>45971</v>
      </c>
      <c r="D820" s="42" t="s">
        <v>410</v>
      </c>
      <c r="E820" s="42" t="s">
        <v>411</v>
      </c>
      <c r="F820" s="47">
        <v>1222198.72</v>
      </c>
      <c r="G820" s="44">
        <v>46320</v>
      </c>
      <c r="H820" s="45" t="e">
        <f t="shared" si="3"/>
        <v>#N/A</v>
      </c>
      <c r="I820" s="46">
        <v>45979.624050925922</v>
      </c>
    </row>
    <row r="821" spans="1:10">
      <c r="A821" s="40" t="s">
        <v>709</v>
      </c>
      <c r="B821" s="40" t="s">
        <v>710</v>
      </c>
      <c r="C821" s="41">
        <v>45940</v>
      </c>
      <c r="D821" s="42" t="s">
        <v>410</v>
      </c>
      <c r="E821" s="42" t="s">
        <v>411</v>
      </c>
      <c r="F821" s="47">
        <v>1159989.73</v>
      </c>
      <c r="G821" s="44">
        <v>46290</v>
      </c>
      <c r="H821" s="45" t="e">
        <f t="shared" si="3"/>
        <v>#N/A</v>
      </c>
      <c r="I821" s="46">
        <v>45979.623831018522</v>
      </c>
    </row>
    <row r="822" spans="1:10">
      <c r="A822" s="40" t="s">
        <v>709</v>
      </c>
      <c r="B822" s="40" t="s">
        <v>710</v>
      </c>
      <c r="C822" s="41">
        <v>45910</v>
      </c>
      <c r="D822" s="42" t="s">
        <v>410</v>
      </c>
      <c r="E822" s="42" t="s">
        <v>411</v>
      </c>
      <c r="F822" s="47">
        <v>1195345.22</v>
      </c>
      <c r="G822" s="44">
        <v>46259</v>
      </c>
      <c r="H822" s="45" t="e">
        <f t="shared" si="3"/>
        <v>#N/A</v>
      </c>
      <c r="I822" s="46">
        <v>45979.62363425926</v>
      </c>
    </row>
    <row r="823" spans="1:10">
      <c r="A823" s="40" t="s">
        <v>709</v>
      </c>
      <c r="B823" s="40" t="s">
        <v>710</v>
      </c>
      <c r="C823" s="41">
        <v>45879</v>
      </c>
      <c r="D823" s="42" t="s">
        <v>410</v>
      </c>
      <c r="E823" s="42" t="s">
        <v>411</v>
      </c>
      <c r="F823" s="47">
        <v>1011300.73</v>
      </c>
      <c r="G823" s="44">
        <v>46228</v>
      </c>
      <c r="H823" s="45" t="e">
        <f t="shared" si="3"/>
        <v>#N/A</v>
      </c>
      <c r="I823" s="46">
        <v>45936.652361111112</v>
      </c>
    </row>
    <row r="824" spans="1:10">
      <c r="A824" s="40" t="s">
        <v>709</v>
      </c>
      <c r="B824" s="40" t="s">
        <v>710</v>
      </c>
      <c r="C824" s="41">
        <v>45848</v>
      </c>
      <c r="D824" s="42" t="s">
        <v>410</v>
      </c>
      <c r="E824" s="42" t="s">
        <v>411</v>
      </c>
      <c r="F824" s="47">
        <v>913566.3</v>
      </c>
      <c r="G824" s="44">
        <v>46198</v>
      </c>
      <c r="H824" s="45" t="e">
        <f t="shared" si="3"/>
        <v>#N/A</v>
      </c>
      <c r="I824" s="46">
        <v>45936.652361111112</v>
      </c>
    </row>
    <row r="825" spans="1:10">
      <c r="A825" s="40" t="s">
        <v>709</v>
      </c>
      <c r="B825" s="40" t="s">
        <v>710</v>
      </c>
      <c r="C825" s="41">
        <v>45818</v>
      </c>
      <c r="D825" s="42" t="s">
        <v>410</v>
      </c>
      <c r="E825" s="42" t="s">
        <v>411</v>
      </c>
      <c r="F825" s="47">
        <v>1049141.1200000001</v>
      </c>
      <c r="G825" s="44">
        <v>46167</v>
      </c>
      <c r="H825" s="45" t="e">
        <f t="shared" si="3"/>
        <v>#N/A</v>
      </c>
      <c r="I825" s="46">
        <v>45936.652361111112</v>
      </c>
    </row>
    <row r="826" spans="1:10">
      <c r="A826" s="40" t="s">
        <v>709</v>
      </c>
      <c r="B826" s="40" t="s">
        <v>710</v>
      </c>
      <c r="C826" s="41">
        <v>45787</v>
      </c>
      <c r="D826" s="42" t="s">
        <v>410</v>
      </c>
      <c r="E826" s="42" t="s">
        <v>411</v>
      </c>
      <c r="F826" s="47">
        <v>921822.6</v>
      </c>
      <c r="G826" s="44">
        <v>46137</v>
      </c>
      <c r="H826" s="45" t="e">
        <f t="shared" si="3"/>
        <v>#N/A</v>
      </c>
      <c r="I826" s="46">
        <v>45936.652361111112</v>
      </c>
    </row>
    <row r="827" spans="1:10">
      <c r="A827" s="40" t="s">
        <v>709</v>
      </c>
      <c r="B827" s="40" t="s">
        <v>710</v>
      </c>
      <c r="C827" s="41">
        <v>45757</v>
      </c>
      <c r="D827" s="42" t="s">
        <v>410</v>
      </c>
      <c r="E827" s="42" t="s">
        <v>411</v>
      </c>
      <c r="F827" s="47">
        <v>1078605.57</v>
      </c>
      <c r="G827" s="44">
        <v>46106</v>
      </c>
      <c r="H827" s="45" t="e">
        <f t="shared" si="3"/>
        <v>#N/A</v>
      </c>
      <c r="I827" s="46">
        <v>45936.652361111112</v>
      </c>
    </row>
    <row r="828" spans="1:10">
      <c r="A828" s="40" t="s">
        <v>711</v>
      </c>
      <c r="B828" s="40" t="s">
        <v>712</v>
      </c>
      <c r="C828" s="41">
        <v>46122</v>
      </c>
      <c r="D828" s="42" t="s">
        <v>490</v>
      </c>
      <c r="E828" s="42" t="s">
        <v>411</v>
      </c>
      <c r="F828" s="43"/>
      <c r="G828" s="44">
        <v>46107</v>
      </c>
      <c r="H828" s="45" t="e">
        <f t="shared" si="3"/>
        <v>#N/A</v>
      </c>
      <c r="I828" s="46"/>
    </row>
    <row r="829" spans="1:10">
      <c r="A829" s="40" t="s">
        <v>711</v>
      </c>
      <c r="B829" s="40" t="s">
        <v>712</v>
      </c>
      <c r="C829" s="41">
        <v>46091</v>
      </c>
      <c r="D829" s="42" t="s">
        <v>490</v>
      </c>
      <c r="E829" s="42" t="s">
        <v>411</v>
      </c>
      <c r="F829" s="43"/>
      <c r="G829" s="44">
        <v>46079</v>
      </c>
      <c r="H829" s="45" t="e">
        <f t="shared" si="3"/>
        <v>#N/A</v>
      </c>
      <c r="I829" s="43"/>
    </row>
    <row r="830" spans="1:10">
      <c r="A830" s="40" t="s">
        <v>711</v>
      </c>
      <c r="B830" s="40" t="s">
        <v>712</v>
      </c>
      <c r="C830" s="41">
        <v>46063</v>
      </c>
      <c r="D830" s="42" t="s">
        <v>490</v>
      </c>
      <c r="E830" s="42" t="s">
        <v>411</v>
      </c>
      <c r="F830" s="47">
        <v>6.3</v>
      </c>
      <c r="G830" s="44">
        <v>46048</v>
      </c>
      <c r="H830" s="45" t="e">
        <f t="shared" si="3"/>
        <v>#N/A</v>
      </c>
      <c r="I830" s="46">
        <v>46064.70815972222</v>
      </c>
      <c r="J830" s="40" t="s">
        <v>713</v>
      </c>
    </row>
    <row r="831" spans="1:10">
      <c r="A831" s="40" t="s">
        <v>711</v>
      </c>
      <c r="B831" s="40" t="s">
        <v>712</v>
      </c>
      <c r="C831" s="41">
        <v>46032</v>
      </c>
      <c r="D831" s="42" t="s">
        <v>490</v>
      </c>
      <c r="E831" s="42" t="s">
        <v>411</v>
      </c>
      <c r="F831" s="47">
        <v>7.69</v>
      </c>
      <c r="G831" s="44">
        <v>46381</v>
      </c>
      <c r="H831" s="45" t="e">
        <f t="shared" si="3"/>
        <v>#N/A</v>
      </c>
      <c r="I831" s="46">
        <v>46031.752013888887</v>
      </c>
      <c r="J831" s="40" t="s">
        <v>714</v>
      </c>
    </row>
    <row r="832" spans="1:10">
      <c r="A832" s="40" t="s">
        <v>711</v>
      </c>
      <c r="B832" s="40" t="s">
        <v>712</v>
      </c>
      <c r="C832" s="41">
        <v>46001</v>
      </c>
      <c r="D832" s="42" t="s">
        <v>490</v>
      </c>
      <c r="E832" s="42" t="s">
        <v>411</v>
      </c>
      <c r="F832" s="47">
        <v>5.08</v>
      </c>
      <c r="G832" s="44">
        <v>46351</v>
      </c>
      <c r="H832" s="45" t="e">
        <f t="shared" si="3"/>
        <v>#N/A</v>
      </c>
      <c r="I832" s="46">
        <v>46006.745497685188</v>
      </c>
      <c r="J832" s="40" t="s">
        <v>715</v>
      </c>
    </row>
    <row r="833" spans="1:9">
      <c r="A833" s="40" t="s">
        <v>711</v>
      </c>
      <c r="B833" s="40" t="s">
        <v>712</v>
      </c>
      <c r="C833" s="41">
        <v>45971</v>
      </c>
      <c r="D833" s="42" t="s">
        <v>490</v>
      </c>
      <c r="E833" s="42" t="s">
        <v>411</v>
      </c>
      <c r="F833" s="47">
        <v>1.69</v>
      </c>
      <c r="G833" s="44">
        <v>46320</v>
      </c>
      <c r="H833" s="45" t="e">
        <f t="shared" si="3"/>
        <v>#N/A</v>
      </c>
      <c r="I833" s="46">
        <v>45974.774386574078</v>
      </c>
    </row>
    <row r="834" spans="1:9">
      <c r="A834" s="40" t="s">
        <v>711</v>
      </c>
      <c r="B834" s="40" t="s">
        <v>712</v>
      </c>
      <c r="C834" s="41">
        <v>45940</v>
      </c>
      <c r="D834" s="42" t="s">
        <v>490</v>
      </c>
      <c r="E834" s="42" t="s">
        <v>411</v>
      </c>
      <c r="F834" s="47">
        <v>1.72</v>
      </c>
      <c r="G834" s="44">
        <v>46290</v>
      </c>
      <c r="H834" s="45" t="e">
        <f t="shared" si="3"/>
        <v>#N/A</v>
      </c>
      <c r="I834" s="46">
        <v>45974.774351851855</v>
      </c>
    </row>
    <row r="835" spans="1:9">
      <c r="A835" s="40" t="s">
        <v>711</v>
      </c>
      <c r="B835" s="40" t="s">
        <v>712</v>
      </c>
      <c r="C835" s="41">
        <v>45910</v>
      </c>
      <c r="D835" s="42" t="s">
        <v>490</v>
      </c>
      <c r="E835" s="42" t="s">
        <v>411</v>
      </c>
      <c r="F835" s="47">
        <v>1.72</v>
      </c>
      <c r="G835" s="44">
        <v>46259</v>
      </c>
      <c r="H835" s="45" t="e">
        <f t="shared" si="3"/>
        <v>#N/A</v>
      </c>
      <c r="I835" s="46">
        <v>45974.77412037037</v>
      </c>
    </row>
    <row r="836" spans="1:9">
      <c r="A836" s="40" t="s">
        <v>711</v>
      </c>
      <c r="B836" s="40" t="s">
        <v>712</v>
      </c>
      <c r="C836" s="41">
        <v>45879</v>
      </c>
      <c r="D836" s="42" t="s">
        <v>490</v>
      </c>
      <c r="E836" s="42" t="s">
        <v>411</v>
      </c>
      <c r="F836" s="47">
        <v>1.89</v>
      </c>
      <c r="G836" s="44">
        <v>46228</v>
      </c>
      <c r="H836" s="45" t="e">
        <f t="shared" si="3"/>
        <v>#N/A</v>
      </c>
      <c r="I836" s="46">
        <v>45938.713912037034</v>
      </c>
    </row>
    <row r="837" spans="1:9">
      <c r="A837" s="40" t="s">
        <v>711</v>
      </c>
      <c r="B837" s="40" t="s">
        <v>712</v>
      </c>
      <c r="C837" s="41">
        <v>45848</v>
      </c>
      <c r="D837" s="42" t="s">
        <v>490</v>
      </c>
      <c r="E837" s="42" t="s">
        <v>411</v>
      </c>
      <c r="F837" s="47">
        <v>6.9</v>
      </c>
      <c r="G837" s="44">
        <v>46198</v>
      </c>
      <c r="H837" s="45" t="e">
        <f t="shared" si="3"/>
        <v>#N/A</v>
      </c>
      <c r="I837" s="46">
        <v>45938.713912037034</v>
      </c>
    </row>
    <row r="838" spans="1:9">
      <c r="A838" s="40" t="s">
        <v>711</v>
      </c>
      <c r="B838" s="40" t="s">
        <v>712</v>
      </c>
      <c r="C838" s="41">
        <v>45818</v>
      </c>
      <c r="D838" s="42" t="s">
        <v>490</v>
      </c>
      <c r="E838" s="42" t="s">
        <v>411</v>
      </c>
      <c r="F838" s="47">
        <v>3.33</v>
      </c>
      <c r="G838" s="44">
        <v>46167</v>
      </c>
      <c r="H838" s="45" t="e">
        <f t="shared" si="3"/>
        <v>#N/A</v>
      </c>
      <c r="I838" s="46">
        <v>45938.713912037034</v>
      </c>
    </row>
    <row r="839" spans="1:9">
      <c r="A839" s="40" t="s">
        <v>711</v>
      </c>
      <c r="B839" s="40" t="s">
        <v>712</v>
      </c>
      <c r="C839" s="41">
        <v>45787</v>
      </c>
      <c r="D839" s="42" t="s">
        <v>490</v>
      </c>
      <c r="E839" s="42" t="s">
        <v>411</v>
      </c>
      <c r="F839" s="47">
        <v>9.84</v>
      </c>
      <c r="G839" s="44">
        <v>46137</v>
      </c>
      <c r="H839" s="45" t="e">
        <f t="shared" si="3"/>
        <v>#N/A</v>
      </c>
      <c r="I839" s="46">
        <v>45938.713912037034</v>
      </c>
    </row>
    <row r="840" spans="1:9">
      <c r="A840" s="40" t="s">
        <v>711</v>
      </c>
      <c r="B840" s="40" t="s">
        <v>712</v>
      </c>
      <c r="C840" s="41">
        <v>45757</v>
      </c>
      <c r="D840" s="42" t="s">
        <v>490</v>
      </c>
      <c r="E840" s="42" t="s">
        <v>411</v>
      </c>
      <c r="F840" s="47">
        <v>1.64</v>
      </c>
      <c r="G840" s="44">
        <v>46106</v>
      </c>
      <c r="H840" s="45" t="e">
        <f t="shared" si="3"/>
        <v>#N/A</v>
      </c>
      <c r="I840" s="46">
        <v>45938.713912037034</v>
      </c>
    </row>
    <row r="841" spans="1:9">
      <c r="A841" s="40" t="s">
        <v>716</v>
      </c>
      <c r="B841" s="40" t="s">
        <v>717</v>
      </c>
      <c r="C841" s="41">
        <v>46122</v>
      </c>
      <c r="D841" s="42" t="s">
        <v>410</v>
      </c>
      <c r="E841" s="42" t="s">
        <v>411</v>
      </c>
      <c r="F841" s="43"/>
      <c r="G841" s="44">
        <v>46107</v>
      </c>
      <c r="H841" s="45" t="e">
        <f t="shared" si="3"/>
        <v>#N/A</v>
      </c>
      <c r="I841" s="46"/>
    </row>
    <row r="842" spans="1:9">
      <c r="A842" s="40" t="s">
        <v>716</v>
      </c>
      <c r="B842" s="40" t="s">
        <v>717</v>
      </c>
      <c r="C842" s="41">
        <v>46091</v>
      </c>
      <c r="D842" s="42" t="s">
        <v>410</v>
      </c>
      <c r="E842" s="42" t="s">
        <v>411</v>
      </c>
      <c r="F842" s="43"/>
      <c r="G842" s="44">
        <v>46079</v>
      </c>
      <c r="H842" s="45" t="e">
        <f t="shared" si="3"/>
        <v>#N/A</v>
      </c>
      <c r="I842" s="43"/>
    </row>
    <row r="843" spans="1:9">
      <c r="A843" s="40" t="s">
        <v>716</v>
      </c>
      <c r="B843" s="40" t="s">
        <v>717</v>
      </c>
      <c r="C843" s="41">
        <v>46063</v>
      </c>
      <c r="D843" s="42" t="s">
        <v>410</v>
      </c>
      <c r="E843" s="42" t="s">
        <v>411</v>
      </c>
      <c r="F843" s="47">
        <v>371404.86</v>
      </c>
      <c r="G843" s="44">
        <v>46048</v>
      </c>
      <c r="H843" s="45" t="e">
        <f t="shared" si="3"/>
        <v>#N/A</v>
      </c>
      <c r="I843" s="46">
        <v>46070.627060185187</v>
      </c>
    </row>
    <row r="844" spans="1:9">
      <c r="A844" s="40" t="s">
        <v>716</v>
      </c>
      <c r="B844" s="40" t="s">
        <v>717</v>
      </c>
      <c r="C844" s="41">
        <v>46032</v>
      </c>
      <c r="D844" s="42" t="s">
        <v>410</v>
      </c>
      <c r="E844" s="42" t="s">
        <v>411</v>
      </c>
      <c r="F844" s="47">
        <v>393433.18</v>
      </c>
      <c r="G844" s="44">
        <v>46381</v>
      </c>
      <c r="H844" s="45" t="e">
        <f t="shared" si="3"/>
        <v>#N/A</v>
      </c>
      <c r="I844" s="46">
        <v>46041.558125000003</v>
      </c>
    </row>
    <row r="845" spans="1:9">
      <c r="A845" s="40" t="s">
        <v>716</v>
      </c>
      <c r="B845" s="40" t="s">
        <v>717</v>
      </c>
      <c r="C845" s="41">
        <v>46001</v>
      </c>
      <c r="D845" s="42" t="s">
        <v>410</v>
      </c>
      <c r="E845" s="42" t="s">
        <v>411</v>
      </c>
      <c r="F845" s="47">
        <v>325925.46999999997</v>
      </c>
      <c r="G845" s="44">
        <v>46351</v>
      </c>
      <c r="H845" s="45" t="e">
        <f t="shared" si="3"/>
        <v>#N/A</v>
      </c>
      <c r="I845" s="46">
        <v>46002.887106481481</v>
      </c>
    </row>
    <row r="846" spans="1:9">
      <c r="A846" s="40" t="s">
        <v>716</v>
      </c>
      <c r="B846" s="40" t="s">
        <v>717</v>
      </c>
      <c r="C846" s="41">
        <v>45971</v>
      </c>
      <c r="D846" s="42" t="s">
        <v>410</v>
      </c>
      <c r="E846" s="42" t="s">
        <v>411</v>
      </c>
      <c r="F846" s="47">
        <v>336876.95</v>
      </c>
      <c r="G846" s="44">
        <v>46320</v>
      </c>
      <c r="H846" s="45" t="e">
        <f t="shared" si="3"/>
        <v>#N/A</v>
      </c>
      <c r="I846" s="46">
        <v>46002.886921296296</v>
      </c>
    </row>
    <row r="847" spans="1:9">
      <c r="A847" s="40" t="s">
        <v>716</v>
      </c>
      <c r="B847" s="40" t="s">
        <v>717</v>
      </c>
      <c r="C847" s="41">
        <v>45940</v>
      </c>
      <c r="D847" s="42" t="s">
        <v>410</v>
      </c>
      <c r="E847" s="42" t="s">
        <v>411</v>
      </c>
      <c r="F847" s="47">
        <v>368310.56</v>
      </c>
      <c r="G847" s="44">
        <v>46290</v>
      </c>
      <c r="H847" s="45" t="e">
        <f t="shared" si="3"/>
        <v>#N/A</v>
      </c>
      <c r="I847" s="46">
        <v>46002.886782407404</v>
      </c>
    </row>
    <row r="848" spans="1:9">
      <c r="A848" s="40" t="s">
        <v>716</v>
      </c>
      <c r="B848" s="40" t="s">
        <v>717</v>
      </c>
      <c r="C848" s="41">
        <v>45910</v>
      </c>
      <c r="D848" s="42" t="s">
        <v>410</v>
      </c>
      <c r="E848" s="42" t="s">
        <v>411</v>
      </c>
      <c r="F848" s="47">
        <v>338118.25</v>
      </c>
      <c r="G848" s="44">
        <v>46259</v>
      </c>
      <c r="H848" s="45" t="e">
        <f t="shared" si="3"/>
        <v>#N/A</v>
      </c>
      <c r="I848" s="46">
        <v>46002.886666666665</v>
      </c>
    </row>
    <row r="849" spans="1:9">
      <c r="A849" s="40" t="s">
        <v>716</v>
      </c>
      <c r="B849" s="40" t="s">
        <v>717</v>
      </c>
      <c r="C849" s="41">
        <v>45879</v>
      </c>
      <c r="D849" s="42" t="s">
        <v>410</v>
      </c>
      <c r="E849" s="42" t="s">
        <v>411</v>
      </c>
      <c r="F849" s="47">
        <v>370341.92</v>
      </c>
      <c r="G849" s="44">
        <v>46228</v>
      </c>
      <c r="H849" s="45" t="e">
        <f t="shared" si="3"/>
        <v>#N/A</v>
      </c>
      <c r="I849" s="46">
        <v>46002.886516203704</v>
      </c>
    </row>
    <row r="850" spans="1:9">
      <c r="A850" s="40" t="s">
        <v>716</v>
      </c>
      <c r="B850" s="40" t="s">
        <v>717</v>
      </c>
      <c r="C850" s="41">
        <v>45848</v>
      </c>
      <c r="D850" s="42" t="s">
        <v>410</v>
      </c>
      <c r="E850" s="42" t="s">
        <v>411</v>
      </c>
      <c r="F850" s="47">
        <v>340923.06</v>
      </c>
      <c r="G850" s="44">
        <v>46198</v>
      </c>
      <c r="H850" s="45" t="e">
        <f t="shared" si="3"/>
        <v>#N/A</v>
      </c>
      <c r="I850" s="46">
        <v>46002.886296296296</v>
      </c>
    </row>
    <row r="851" spans="1:9">
      <c r="A851" s="40" t="s">
        <v>716</v>
      </c>
      <c r="B851" s="40" t="s">
        <v>717</v>
      </c>
      <c r="C851" s="41">
        <v>45818</v>
      </c>
      <c r="D851" s="42" t="s">
        <v>410</v>
      </c>
      <c r="E851" s="42" t="s">
        <v>411</v>
      </c>
      <c r="F851" s="47">
        <v>383675.59</v>
      </c>
      <c r="G851" s="44">
        <v>46167</v>
      </c>
      <c r="H851" s="45" t="e">
        <f t="shared" si="3"/>
        <v>#N/A</v>
      </c>
      <c r="I851" s="46">
        <v>46002.886145833334</v>
      </c>
    </row>
    <row r="852" spans="1:9">
      <c r="A852" s="40" t="s">
        <v>716</v>
      </c>
      <c r="B852" s="40" t="s">
        <v>717</v>
      </c>
      <c r="C852" s="41">
        <v>45787</v>
      </c>
      <c r="D852" s="42" t="s">
        <v>410</v>
      </c>
      <c r="E852" s="42" t="s">
        <v>411</v>
      </c>
      <c r="F852" s="47">
        <v>347128.28</v>
      </c>
      <c r="G852" s="44">
        <v>46137</v>
      </c>
      <c r="H852" s="45" t="e">
        <f t="shared" si="3"/>
        <v>#N/A</v>
      </c>
      <c r="I852" s="46">
        <v>46002.885914351849</v>
      </c>
    </row>
    <row r="853" spans="1:9">
      <c r="A853" s="40" t="s">
        <v>716</v>
      </c>
      <c r="B853" s="40" t="s">
        <v>717</v>
      </c>
      <c r="C853" s="41">
        <v>45757</v>
      </c>
      <c r="D853" s="42" t="s">
        <v>410</v>
      </c>
      <c r="E853" s="42" t="s">
        <v>411</v>
      </c>
      <c r="F853" s="47">
        <v>349377.39</v>
      </c>
      <c r="G853" s="44">
        <v>46106</v>
      </c>
      <c r="H853" s="45" t="e">
        <f t="shared" si="3"/>
        <v>#N/A</v>
      </c>
      <c r="I853" s="46">
        <v>46002.885682870372</v>
      </c>
    </row>
    <row r="854" spans="1:9">
      <c r="A854" s="40" t="s">
        <v>718</v>
      </c>
      <c r="B854" s="40" t="s">
        <v>719</v>
      </c>
      <c r="C854" s="41">
        <v>46122</v>
      </c>
      <c r="D854" s="42" t="s">
        <v>490</v>
      </c>
      <c r="E854" s="42" t="s">
        <v>411</v>
      </c>
      <c r="F854" s="43"/>
      <c r="G854" s="44">
        <v>46107</v>
      </c>
      <c r="H854" s="45" t="e">
        <f t="shared" si="3"/>
        <v>#N/A</v>
      </c>
      <c r="I854" s="46"/>
    </row>
    <row r="855" spans="1:9">
      <c r="A855" s="40" t="s">
        <v>718</v>
      </c>
      <c r="B855" s="40" t="s">
        <v>719</v>
      </c>
      <c r="C855" s="41">
        <v>46091</v>
      </c>
      <c r="D855" s="42" t="s">
        <v>490</v>
      </c>
      <c r="E855" s="42" t="s">
        <v>411</v>
      </c>
      <c r="F855" s="43"/>
      <c r="G855" s="44">
        <v>46079</v>
      </c>
      <c r="H855" s="45" t="e">
        <f t="shared" si="3"/>
        <v>#N/A</v>
      </c>
      <c r="I855" s="43"/>
    </row>
    <row r="856" spans="1:9">
      <c r="A856" s="40" t="s">
        <v>718</v>
      </c>
      <c r="B856" s="40" t="s">
        <v>719</v>
      </c>
      <c r="C856" s="41">
        <v>46063</v>
      </c>
      <c r="D856" s="42" t="s">
        <v>490</v>
      </c>
      <c r="E856" s="42" t="s">
        <v>411</v>
      </c>
      <c r="F856" s="47">
        <v>95</v>
      </c>
      <c r="G856" s="44">
        <v>46048</v>
      </c>
      <c r="H856" s="45" t="e">
        <f t="shared" si="3"/>
        <v>#N/A</v>
      </c>
      <c r="I856" s="46">
        <v>46069.602442129632</v>
      </c>
    </row>
    <row r="857" spans="1:9">
      <c r="A857" s="40" t="s">
        <v>718</v>
      </c>
      <c r="B857" s="40" t="s">
        <v>719</v>
      </c>
      <c r="C857" s="41">
        <v>46032</v>
      </c>
      <c r="D857" s="42" t="s">
        <v>490</v>
      </c>
      <c r="E857" s="42" t="s">
        <v>411</v>
      </c>
      <c r="F857" s="47">
        <v>99</v>
      </c>
      <c r="G857" s="44">
        <v>46381</v>
      </c>
      <c r="H857" s="45" t="e">
        <f t="shared" si="3"/>
        <v>#N/A</v>
      </c>
      <c r="I857" s="46">
        <v>46033.739849537036</v>
      </c>
    </row>
    <row r="858" spans="1:9">
      <c r="A858" s="40" t="s">
        <v>718</v>
      </c>
      <c r="B858" s="40" t="s">
        <v>719</v>
      </c>
      <c r="C858" s="41">
        <v>46001</v>
      </c>
      <c r="D858" s="42" t="s">
        <v>490</v>
      </c>
      <c r="E858" s="42" t="s">
        <v>411</v>
      </c>
      <c r="F858" s="47">
        <v>99</v>
      </c>
      <c r="G858" s="44">
        <v>46351</v>
      </c>
      <c r="H858" s="45" t="e">
        <f t="shared" si="3"/>
        <v>#N/A</v>
      </c>
      <c r="I858" s="46">
        <v>46008.771261574075</v>
      </c>
    </row>
    <row r="859" spans="1:9">
      <c r="A859" s="40" t="s">
        <v>718</v>
      </c>
      <c r="B859" s="40" t="s">
        <v>719</v>
      </c>
      <c r="C859" s="41">
        <v>45971</v>
      </c>
      <c r="D859" s="42" t="s">
        <v>490</v>
      </c>
      <c r="E859" s="42" t="s">
        <v>411</v>
      </c>
      <c r="F859" s="47">
        <v>99</v>
      </c>
      <c r="G859" s="44">
        <v>46320</v>
      </c>
      <c r="H859" s="45" t="e">
        <f t="shared" si="3"/>
        <v>#N/A</v>
      </c>
      <c r="I859" s="46">
        <v>45973.471064814818</v>
      </c>
    </row>
    <row r="860" spans="1:9">
      <c r="A860" s="40" t="s">
        <v>718</v>
      </c>
      <c r="B860" s="40" t="s">
        <v>719</v>
      </c>
      <c r="C860" s="41">
        <v>45940</v>
      </c>
      <c r="D860" s="42" t="s">
        <v>490</v>
      </c>
      <c r="E860" s="42" t="s">
        <v>411</v>
      </c>
      <c r="F860" s="47">
        <v>98</v>
      </c>
      <c r="G860" s="44">
        <v>46290</v>
      </c>
      <c r="H860" s="45" t="e">
        <f t="shared" si="3"/>
        <v>#N/A</v>
      </c>
      <c r="I860" s="46">
        <v>45968.588946759257</v>
      </c>
    </row>
    <row r="861" spans="1:9">
      <c r="A861" s="40" t="s">
        <v>718</v>
      </c>
      <c r="B861" s="40" t="s">
        <v>719</v>
      </c>
      <c r="C861" s="41">
        <v>45910</v>
      </c>
      <c r="D861" s="42" t="s">
        <v>490</v>
      </c>
      <c r="E861" s="42" t="s">
        <v>411</v>
      </c>
      <c r="F861" s="47">
        <v>98</v>
      </c>
      <c r="G861" s="44">
        <v>46259</v>
      </c>
      <c r="H861" s="45" t="e">
        <f t="shared" si="3"/>
        <v>#N/A</v>
      </c>
      <c r="I861" s="46">
        <v>45968.588275462964</v>
      </c>
    </row>
    <row r="862" spans="1:9">
      <c r="A862" s="40" t="s">
        <v>718</v>
      </c>
      <c r="B862" s="40" t="s">
        <v>719</v>
      </c>
      <c r="C862" s="41">
        <v>45879</v>
      </c>
      <c r="D862" s="42" t="s">
        <v>490</v>
      </c>
      <c r="E862" s="42" t="s">
        <v>411</v>
      </c>
      <c r="F862" s="47">
        <v>90.01</v>
      </c>
      <c r="G862" s="44">
        <v>46228</v>
      </c>
      <c r="H862" s="45" t="e">
        <f t="shared" si="3"/>
        <v>#N/A</v>
      </c>
      <c r="I862" s="46">
        <v>45938.714606481481</v>
      </c>
    </row>
    <row r="863" spans="1:9">
      <c r="A863" s="40" t="s">
        <v>718</v>
      </c>
      <c r="B863" s="40" t="s">
        <v>719</v>
      </c>
      <c r="C863" s="41">
        <v>45848</v>
      </c>
      <c r="D863" s="42" t="s">
        <v>490</v>
      </c>
      <c r="E863" s="42" t="s">
        <v>411</v>
      </c>
      <c r="F863" s="47">
        <v>80.97</v>
      </c>
      <c r="G863" s="44">
        <v>46198</v>
      </c>
      <c r="H863" s="45" t="e">
        <f t="shared" si="3"/>
        <v>#N/A</v>
      </c>
      <c r="I863" s="46">
        <v>45938.714606481481</v>
      </c>
    </row>
    <row r="864" spans="1:9">
      <c r="A864" s="40" t="s">
        <v>718</v>
      </c>
      <c r="B864" s="40" t="s">
        <v>719</v>
      </c>
      <c r="C864" s="41">
        <v>45818</v>
      </c>
      <c r="D864" s="42" t="s">
        <v>490</v>
      </c>
      <c r="E864" s="42" t="s">
        <v>411</v>
      </c>
      <c r="F864" s="47">
        <v>80.7</v>
      </c>
      <c r="G864" s="44">
        <v>46167</v>
      </c>
      <c r="H864" s="45" t="e">
        <f t="shared" si="3"/>
        <v>#N/A</v>
      </c>
      <c r="I864" s="46">
        <v>45938.714606481481</v>
      </c>
    </row>
    <row r="865" spans="1:10">
      <c r="A865" s="40" t="s">
        <v>718</v>
      </c>
      <c r="B865" s="40" t="s">
        <v>719</v>
      </c>
      <c r="C865" s="41">
        <v>45787</v>
      </c>
      <c r="D865" s="42" t="s">
        <v>490</v>
      </c>
      <c r="E865" s="42" t="s">
        <v>411</v>
      </c>
      <c r="F865" s="47">
        <v>91.05</v>
      </c>
      <c r="G865" s="44">
        <v>46137</v>
      </c>
      <c r="H865" s="45" t="e">
        <f t="shared" si="3"/>
        <v>#N/A</v>
      </c>
      <c r="I865" s="46">
        <v>45938.714606481481</v>
      </c>
    </row>
    <row r="866" spans="1:10">
      <c r="A866" s="40" t="s">
        <v>718</v>
      </c>
      <c r="B866" s="40" t="s">
        <v>719</v>
      </c>
      <c r="C866" s="41">
        <v>45757</v>
      </c>
      <c r="D866" s="42" t="s">
        <v>490</v>
      </c>
      <c r="E866" s="42" t="s">
        <v>411</v>
      </c>
      <c r="F866" s="47">
        <v>92.82</v>
      </c>
      <c r="G866" s="44">
        <v>46106</v>
      </c>
      <c r="H866" s="45" t="e">
        <f t="shared" si="3"/>
        <v>#N/A</v>
      </c>
      <c r="I866" s="46">
        <v>45938.714606481481</v>
      </c>
    </row>
    <row r="867" spans="1:10">
      <c r="A867" s="40" t="s">
        <v>718</v>
      </c>
      <c r="B867" s="40" t="s">
        <v>719</v>
      </c>
      <c r="C867" s="41">
        <v>45726</v>
      </c>
      <c r="D867" s="42" t="s">
        <v>490</v>
      </c>
      <c r="E867" s="42" t="s">
        <v>411</v>
      </c>
      <c r="F867" s="47">
        <v>99</v>
      </c>
      <c r="G867" s="44">
        <v>46078</v>
      </c>
      <c r="H867" s="45" t="e">
        <f t="shared" si="3"/>
        <v>#N/A</v>
      </c>
      <c r="I867" s="46">
        <v>45938.714606481481</v>
      </c>
    </row>
    <row r="868" spans="1:10">
      <c r="A868" s="40" t="s">
        <v>718</v>
      </c>
      <c r="B868" s="40" t="s">
        <v>719</v>
      </c>
      <c r="C868" s="41">
        <v>45698</v>
      </c>
      <c r="D868" s="42" t="s">
        <v>490</v>
      </c>
      <c r="E868" s="42" t="s">
        <v>411</v>
      </c>
      <c r="F868" s="47">
        <v>99</v>
      </c>
      <c r="G868" s="44">
        <v>46047</v>
      </c>
      <c r="H868" s="45" t="e">
        <f t="shared" si="3"/>
        <v>#N/A</v>
      </c>
      <c r="I868" s="46">
        <v>45972.62159722222</v>
      </c>
    </row>
    <row r="869" spans="1:10">
      <c r="A869" s="40" t="s">
        <v>720</v>
      </c>
      <c r="B869" s="40" t="s">
        <v>721</v>
      </c>
      <c r="C869" s="41">
        <v>46122</v>
      </c>
      <c r="D869" s="42" t="s">
        <v>476</v>
      </c>
      <c r="E869" s="42" t="s">
        <v>411</v>
      </c>
      <c r="F869" s="43"/>
      <c r="G869" s="44">
        <v>46107</v>
      </c>
      <c r="H869" s="45" t="e">
        <f t="shared" si="3"/>
        <v>#N/A</v>
      </c>
      <c r="I869" s="46"/>
    </row>
    <row r="870" spans="1:10">
      <c r="A870" s="40" t="s">
        <v>720</v>
      </c>
      <c r="B870" s="40" t="s">
        <v>721</v>
      </c>
      <c r="C870" s="41">
        <v>46091</v>
      </c>
      <c r="D870" s="42" t="s">
        <v>476</v>
      </c>
      <c r="E870" s="42" t="s">
        <v>411</v>
      </c>
      <c r="F870" s="43"/>
      <c r="G870" s="44">
        <v>46079</v>
      </c>
      <c r="H870" s="45" t="e">
        <f t="shared" si="3"/>
        <v>#N/A</v>
      </c>
      <c r="I870" s="43"/>
    </row>
    <row r="871" spans="1:10">
      <c r="A871" s="40" t="s">
        <v>720</v>
      </c>
      <c r="B871" s="40" t="s">
        <v>721</v>
      </c>
      <c r="C871" s="41">
        <v>46063</v>
      </c>
      <c r="D871" s="42" t="s">
        <v>476</v>
      </c>
      <c r="E871" s="42" t="s">
        <v>411</v>
      </c>
      <c r="F871" s="47">
        <v>96137.79</v>
      </c>
      <c r="G871" s="44">
        <v>46048</v>
      </c>
      <c r="H871" s="45" t="e">
        <f t="shared" si="3"/>
        <v>#N/A</v>
      </c>
      <c r="I871" s="46">
        <v>46070.555613425924</v>
      </c>
    </row>
    <row r="872" spans="1:10">
      <c r="A872" s="40" t="s">
        <v>720</v>
      </c>
      <c r="B872" s="40" t="s">
        <v>721</v>
      </c>
      <c r="C872" s="41">
        <v>46032</v>
      </c>
      <c r="D872" s="42" t="s">
        <v>476</v>
      </c>
      <c r="E872" s="42" t="s">
        <v>411</v>
      </c>
      <c r="F872" s="47">
        <v>97475.06</v>
      </c>
      <c r="G872" s="44">
        <v>46381</v>
      </c>
      <c r="H872" s="45" t="e">
        <f t="shared" si="3"/>
        <v>#N/A</v>
      </c>
      <c r="I872" s="46">
        <v>46037.509259259263</v>
      </c>
    </row>
    <row r="873" spans="1:10">
      <c r="A873" s="40" t="s">
        <v>720</v>
      </c>
      <c r="B873" s="40" t="s">
        <v>721</v>
      </c>
      <c r="C873" s="41">
        <v>46001</v>
      </c>
      <c r="D873" s="42" t="s">
        <v>476</v>
      </c>
      <c r="E873" s="42" t="s">
        <v>411</v>
      </c>
      <c r="F873" s="47">
        <v>76985.94</v>
      </c>
      <c r="G873" s="44">
        <v>46351</v>
      </c>
      <c r="H873" s="45" t="e">
        <f t="shared" si="3"/>
        <v>#N/A</v>
      </c>
      <c r="I873" s="46">
        <v>45999.461886574078</v>
      </c>
    </row>
    <row r="874" spans="1:10">
      <c r="A874" s="40" t="s">
        <v>720</v>
      </c>
      <c r="B874" s="40" t="s">
        <v>721</v>
      </c>
      <c r="C874" s="41">
        <v>45971</v>
      </c>
      <c r="D874" s="42" t="s">
        <v>476</v>
      </c>
      <c r="E874" s="42" t="s">
        <v>411</v>
      </c>
      <c r="F874" s="47">
        <v>93898.18</v>
      </c>
      <c r="G874" s="44">
        <v>46320</v>
      </c>
      <c r="H874" s="45" t="e">
        <f t="shared" si="3"/>
        <v>#N/A</v>
      </c>
      <c r="I874" s="46">
        <v>45977.508333333331</v>
      </c>
      <c r="J874" s="40" t="s">
        <v>722</v>
      </c>
    </row>
    <row r="875" spans="1:10">
      <c r="A875" s="40" t="s">
        <v>720</v>
      </c>
      <c r="B875" s="40" t="s">
        <v>721</v>
      </c>
      <c r="C875" s="41">
        <v>45940</v>
      </c>
      <c r="D875" s="42" t="s">
        <v>476</v>
      </c>
      <c r="E875" s="42" t="s">
        <v>411</v>
      </c>
      <c r="F875" s="47">
        <v>67361.740000000005</v>
      </c>
      <c r="G875" s="44">
        <v>46290</v>
      </c>
      <c r="H875" s="45" t="e">
        <f t="shared" si="3"/>
        <v>#N/A</v>
      </c>
      <c r="I875" s="46">
        <v>45939.713125000002</v>
      </c>
    </row>
    <row r="876" spans="1:10">
      <c r="A876" s="40" t="s">
        <v>720</v>
      </c>
      <c r="B876" s="40" t="s">
        <v>721</v>
      </c>
      <c r="C876" s="41">
        <v>45910</v>
      </c>
      <c r="D876" s="42" t="s">
        <v>476</v>
      </c>
      <c r="E876" s="42" t="s">
        <v>411</v>
      </c>
      <c r="F876" s="47">
        <v>83718.89</v>
      </c>
      <c r="G876" s="44">
        <v>46259</v>
      </c>
      <c r="H876" s="45" t="e">
        <f t="shared" si="3"/>
        <v>#N/A</v>
      </c>
      <c r="I876" s="46">
        <v>45939.712708333333</v>
      </c>
    </row>
    <row r="877" spans="1:10">
      <c r="A877" s="40" t="s">
        <v>720</v>
      </c>
      <c r="B877" s="40" t="s">
        <v>721</v>
      </c>
      <c r="C877" s="41">
        <v>45879</v>
      </c>
      <c r="D877" s="42" t="s">
        <v>476</v>
      </c>
      <c r="E877" s="42" t="s">
        <v>411</v>
      </c>
      <c r="F877" s="47">
        <v>95145.57</v>
      </c>
      <c r="G877" s="44">
        <v>46228</v>
      </c>
      <c r="H877" s="45" t="e">
        <f t="shared" si="3"/>
        <v>#N/A</v>
      </c>
      <c r="I877" s="46">
        <v>45936.646527777775</v>
      </c>
    </row>
    <row r="878" spans="1:10">
      <c r="A878" s="40" t="s">
        <v>720</v>
      </c>
      <c r="B878" s="40" t="s">
        <v>721</v>
      </c>
      <c r="C878" s="41">
        <v>45848</v>
      </c>
      <c r="D878" s="42" t="s">
        <v>476</v>
      </c>
      <c r="E878" s="42" t="s">
        <v>411</v>
      </c>
      <c r="F878" s="47">
        <v>82622.84</v>
      </c>
      <c r="G878" s="44">
        <v>46198</v>
      </c>
      <c r="H878" s="45" t="e">
        <f t="shared" si="3"/>
        <v>#N/A</v>
      </c>
      <c r="I878" s="46">
        <v>45936.646527777775</v>
      </c>
    </row>
    <row r="879" spans="1:10">
      <c r="A879" s="40" t="s">
        <v>720</v>
      </c>
      <c r="B879" s="40" t="s">
        <v>721</v>
      </c>
      <c r="C879" s="41">
        <v>45818</v>
      </c>
      <c r="D879" s="42" t="s">
        <v>476</v>
      </c>
      <c r="E879" s="42" t="s">
        <v>411</v>
      </c>
      <c r="F879" s="47">
        <v>73350.58</v>
      </c>
      <c r="G879" s="44">
        <v>46167</v>
      </c>
      <c r="H879" s="45" t="e">
        <f t="shared" si="3"/>
        <v>#N/A</v>
      </c>
      <c r="I879" s="46">
        <v>45936.646527777775</v>
      </c>
    </row>
    <row r="880" spans="1:10">
      <c r="A880" s="40" t="s">
        <v>723</v>
      </c>
      <c r="B880" s="40" t="s">
        <v>724</v>
      </c>
      <c r="C880" s="41">
        <v>46117</v>
      </c>
      <c r="D880" s="42" t="s">
        <v>476</v>
      </c>
      <c r="E880" s="42" t="s">
        <v>411</v>
      </c>
      <c r="F880" s="43"/>
      <c r="G880" s="44">
        <v>46107</v>
      </c>
      <c r="H880" s="45" t="e">
        <f t="shared" si="3"/>
        <v>#N/A</v>
      </c>
      <c r="I880" s="46"/>
    </row>
    <row r="881" spans="1:9">
      <c r="A881" s="40" t="s">
        <v>723</v>
      </c>
      <c r="B881" s="40" t="s">
        <v>724</v>
      </c>
      <c r="C881" s="41">
        <v>46086</v>
      </c>
      <c r="D881" s="42" t="s">
        <v>476</v>
      </c>
      <c r="E881" s="42" t="s">
        <v>411</v>
      </c>
      <c r="F881" s="43"/>
      <c r="G881" s="44">
        <v>46079</v>
      </c>
      <c r="H881" s="45" t="e">
        <f t="shared" si="3"/>
        <v>#N/A</v>
      </c>
      <c r="I881" s="43"/>
    </row>
    <row r="882" spans="1:9">
      <c r="A882" s="40" t="s">
        <v>723</v>
      </c>
      <c r="B882" s="40" t="s">
        <v>724</v>
      </c>
      <c r="C882" s="41">
        <v>46058</v>
      </c>
      <c r="D882" s="42" t="s">
        <v>476</v>
      </c>
      <c r="E882" s="42" t="s">
        <v>411</v>
      </c>
      <c r="F882" s="47">
        <v>98</v>
      </c>
      <c r="G882" s="44">
        <v>46048</v>
      </c>
      <c r="H882" s="45" t="e">
        <f t="shared" si="3"/>
        <v>#N/A</v>
      </c>
      <c r="I882" s="46">
        <v>46069.592222222222</v>
      </c>
    </row>
    <row r="883" spans="1:9">
      <c r="A883" s="40" t="s">
        <v>723</v>
      </c>
      <c r="B883" s="40" t="s">
        <v>724</v>
      </c>
      <c r="C883" s="41">
        <v>46027</v>
      </c>
      <c r="D883" s="42" t="s">
        <v>476</v>
      </c>
      <c r="E883" s="42" t="s">
        <v>411</v>
      </c>
      <c r="F883" s="47">
        <v>98</v>
      </c>
      <c r="G883" s="44">
        <v>46381</v>
      </c>
      <c r="H883" s="45" t="e">
        <f t="shared" si="3"/>
        <v>#N/A</v>
      </c>
      <c r="I883" s="46">
        <v>46033.699895833335</v>
      </c>
    </row>
    <row r="884" spans="1:9">
      <c r="A884" s="40" t="s">
        <v>723</v>
      </c>
      <c r="B884" s="40" t="s">
        <v>724</v>
      </c>
      <c r="C884" s="41">
        <v>45996</v>
      </c>
      <c r="D884" s="42" t="s">
        <v>476</v>
      </c>
      <c r="E884" s="42" t="s">
        <v>411</v>
      </c>
      <c r="F884" s="47">
        <v>97</v>
      </c>
      <c r="G884" s="44">
        <v>46351</v>
      </c>
      <c r="H884" s="45" t="e">
        <f t="shared" si="3"/>
        <v>#N/A</v>
      </c>
      <c r="I884" s="46">
        <v>46008.779004629629</v>
      </c>
    </row>
    <row r="885" spans="1:9">
      <c r="A885" s="40" t="s">
        <v>723</v>
      </c>
      <c r="B885" s="40" t="s">
        <v>724</v>
      </c>
      <c r="C885" s="41">
        <v>45966</v>
      </c>
      <c r="D885" s="42" t="s">
        <v>476</v>
      </c>
      <c r="E885" s="42" t="s">
        <v>411</v>
      </c>
      <c r="F885" s="47">
        <v>99</v>
      </c>
      <c r="G885" s="44">
        <v>46320</v>
      </c>
      <c r="H885" s="45" t="e">
        <f t="shared" si="3"/>
        <v>#N/A</v>
      </c>
      <c r="I885" s="46">
        <v>46008.77884259259</v>
      </c>
    </row>
    <row r="886" spans="1:9">
      <c r="A886" s="40" t="s">
        <v>723</v>
      </c>
      <c r="B886" s="40" t="s">
        <v>724</v>
      </c>
      <c r="C886" s="41">
        <v>45935</v>
      </c>
      <c r="D886" s="42" t="s">
        <v>476</v>
      </c>
      <c r="E886" s="42" t="s">
        <v>411</v>
      </c>
      <c r="F886" s="47">
        <v>99</v>
      </c>
      <c r="G886" s="44">
        <v>46290</v>
      </c>
      <c r="H886" s="45" t="e">
        <f t="shared" si="3"/>
        <v>#N/A</v>
      </c>
      <c r="I886" s="46">
        <v>46008.778773148151</v>
      </c>
    </row>
    <row r="887" spans="1:9">
      <c r="A887" s="40" t="s">
        <v>723</v>
      </c>
      <c r="B887" s="40" t="s">
        <v>724</v>
      </c>
      <c r="C887" s="41">
        <v>45905</v>
      </c>
      <c r="D887" s="42" t="s">
        <v>476</v>
      </c>
      <c r="E887" s="42" t="s">
        <v>411</v>
      </c>
      <c r="F887" s="47">
        <v>99</v>
      </c>
      <c r="G887" s="44">
        <v>46259</v>
      </c>
      <c r="H887" s="45" t="e">
        <f t="shared" si="3"/>
        <v>#N/A</v>
      </c>
      <c r="I887" s="46">
        <v>46008.778587962966</v>
      </c>
    </row>
    <row r="888" spans="1:9">
      <c r="A888" s="40" t="s">
        <v>723</v>
      </c>
      <c r="B888" s="40" t="s">
        <v>724</v>
      </c>
      <c r="C888" s="41">
        <v>45874</v>
      </c>
      <c r="D888" s="42" t="s">
        <v>476</v>
      </c>
      <c r="E888" s="42" t="s">
        <v>411</v>
      </c>
      <c r="F888" s="47">
        <v>99</v>
      </c>
      <c r="G888" s="44">
        <v>46228</v>
      </c>
      <c r="H888" s="45" t="e">
        <f t="shared" si="3"/>
        <v>#N/A</v>
      </c>
      <c r="I888" s="46">
        <v>46008.778310185182</v>
      </c>
    </row>
    <row r="889" spans="1:9">
      <c r="A889" s="40" t="s">
        <v>723</v>
      </c>
      <c r="B889" s="40" t="s">
        <v>724</v>
      </c>
      <c r="C889" s="41">
        <v>45843</v>
      </c>
      <c r="D889" s="42" t="s">
        <v>476</v>
      </c>
      <c r="E889" s="42" t="s">
        <v>411</v>
      </c>
      <c r="F889" s="47">
        <v>100</v>
      </c>
      <c r="G889" s="44">
        <v>46198</v>
      </c>
      <c r="H889" s="45" t="e">
        <f t="shared" si="3"/>
        <v>#N/A</v>
      </c>
      <c r="I889" s="46">
        <v>46008.778020833335</v>
      </c>
    </row>
    <row r="890" spans="1:9">
      <c r="A890" s="40" t="s">
        <v>723</v>
      </c>
      <c r="B890" s="40" t="s">
        <v>724</v>
      </c>
      <c r="C890" s="41">
        <v>45813</v>
      </c>
      <c r="D890" s="42" t="s">
        <v>476</v>
      </c>
      <c r="E890" s="42" t="s">
        <v>411</v>
      </c>
      <c r="F890" s="47">
        <v>96</v>
      </c>
      <c r="G890" s="44">
        <v>46167</v>
      </c>
      <c r="H890" s="45" t="e">
        <f t="shared" si="3"/>
        <v>#N/A</v>
      </c>
      <c r="I890" s="46">
        <v>46008.777418981481</v>
      </c>
    </row>
    <row r="891" spans="1:9">
      <c r="A891" s="40" t="s">
        <v>723</v>
      </c>
      <c r="B891" s="40" t="s">
        <v>724</v>
      </c>
      <c r="C891" s="41">
        <v>45782</v>
      </c>
      <c r="D891" s="42" t="s">
        <v>476</v>
      </c>
      <c r="E891" s="42" t="s">
        <v>411</v>
      </c>
      <c r="F891" s="47">
        <v>100</v>
      </c>
      <c r="G891" s="44">
        <v>46137</v>
      </c>
      <c r="H891" s="45" t="e">
        <f t="shared" si="3"/>
        <v>#N/A</v>
      </c>
      <c r="I891" s="46">
        <v>46008.777002314811</v>
      </c>
    </row>
    <row r="892" spans="1:9">
      <c r="A892" s="40" t="s">
        <v>723</v>
      </c>
      <c r="B892" s="40" t="s">
        <v>724</v>
      </c>
      <c r="C892" s="41">
        <v>45752</v>
      </c>
      <c r="D892" s="42" t="s">
        <v>476</v>
      </c>
      <c r="E892" s="42" t="s">
        <v>411</v>
      </c>
      <c r="F892" s="47">
        <v>98</v>
      </c>
      <c r="G892" s="44">
        <v>46106</v>
      </c>
      <c r="H892" s="45" t="e">
        <f t="shared" si="3"/>
        <v>#N/A</v>
      </c>
      <c r="I892" s="46">
        <v>46008.776423611111</v>
      </c>
    </row>
    <row r="893" spans="1:9">
      <c r="A893" s="40" t="s">
        <v>723</v>
      </c>
      <c r="B893" s="40" t="s">
        <v>724</v>
      </c>
      <c r="C893" s="41">
        <v>45721</v>
      </c>
      <c r="D893" s="42" t="s">
        <v>476</v>
      </c>
      <c r="E893" s="42" t="s">
        <v>411</v>
      </c>
      <c r="F893" s="47">
        <v>98</v>
      </c>
      <c r="G893" s="44">
        <v>46078</v>
      </c>
      <c r="H893" s="45" t="e">
        <f t="shared" si="3"/>
        <v>#N/A</v>
      </c>
      <c r="I893" s="46">
        <v>46033.699120370373</v>
      </c>
    </row>
    <row r="894" spans="1:9">
      <c r="A894" s="40" t="s">
        <v>723</v>
      </c>
      <c r="B894" s="40" t="s">
        <v>724</v>
      </c>
      <c r="C894" s="41">
        <v>45693</v>
      </c>
      <c r="D894" s="42" t="s">
        <v>476</v>
      </c>
      <c r="E894" s="42" t="s">
        <v>411</v>
      </c>
      <c r="F894" s="47">
        <v>98</v>
      </c>
      <c r="G894" s="44">
        <v>46047</v>
      </c>
      <c r="H894" s="45" t="e">
        <f t="shared" si="3"/>
        <v>#N/A</v>
      </c>
      <c r="I894" s="46">
        <v>46033.698773148149</v>
      </c>
    </row>
    <row r="895" spans="1:9">
      <c r="A895" s="40" t="s">
        <v>725</v>
      </c>
      <c r="B895" s="40" t="s">
        <v>726</v>
      </c>
      <c r="C895" s="41">
        <v>46122</v>
      </c>
      <c r="D895" s="42" t="s">
        <v>476</v>
      </c>
      <c r="E895" s="42" t="s">
        <v>411</v>
      </c>
      <c r="F895" s="43"/>
      <c r="G895" s="44">
        <v>46107</v>
      </c>
      <c r="H895" s="45" t="e">
        <f t="shared" si="3"/>
        <v>#N/A</v>
      </c>
      <c r="I895" s="46"/>
    </row>
    <row r="896" spans="1:9">
      <c r="A896" s="40" t="s">
        <v>725</v>
      </c>
      <c r="B896" s="40" t="s">
        <v>726</v>
      </c>
      <c r="C896" s="41">
        <v>46091</v>
      </c>
      <c r="D896" s="42" t="s">
        <v>476</v>
      </c>
      <c r="E896" s="42" t="s">
        <v>411</v>
      </c>
      <c r="F896" s="43"/>
      <c r="G896" s="44">
        <v>46079</v>
      </c>
      <c r="H896" s="45" t="e">
        <f t="shared" si="3"/>
        <v>#N/A</v>
      </c>
      <c r="I896" s="43"/>
    </row>
    <row r="897" spans="1:10">
      <c r="A897" s="40" t="s">
        <v>725</v>
      </c>
      <c r="B897" s="40" t="s">
        <v>726</v>
      </c>
      <c r="C897" s="41">
        <v>46063</v>
      </c>
      <c r="D897" s="42" t="s">
        <v>476</v>
      </c>
      <c r="E897" s="42" t="s">
        <v>411</v>
      </c>
      <c r="F897" s="47">
        <v>31</v>
      </c>
      <c r="G897" s="44">
        <v>46048</v>
      </c>
      <c r="H897" s="45" t="e">
        <f t="shared" si="3"/>
        <v>#N/A</v>
      </c>
      <c r="I897" s="46">
        <v>46078.650312500002</v>
      </c>
      <c r="J897" s="40" t="s">
        <v>727</v>
      </c>
    </row>
    <row r="898" spans="1:10">
      <c r="A898" s="40" t="s">
        <v>725</v>
      </c>
      <c r="B898" s="40" t="s">
        <v>726</v>
      </c>
      <c r="C898" s="41">
        <v>46032</v>
      </c>
      <c r="D898" s="42" t="s">
        <v>476</v>
      </c>
      <c r="E898" s="42" t="s">
        <v>411</v>
      </c>
      <c r="F898" s="47">
        <v>338</v>
      </c>
      <c r="G898" s="44">
        <v>46381</v>
      </c>
      <c r="H898" s="45" t="e">
        <f t="shared" si="3"/>
        <v>#N/A</v>
      </c>
      <c r="I898" s="46">
        <v>46037.625462962962</v>
      </c>
    </row>
    <row r="899" spans="1:10">
      <c r="A899" s="40" t="s">
        <v>725</v>
      </c>
      <c r="B899" s="40" t="s">
        <v>726</v>
      </c>
      <c r="C899" s="41">
        <v>46001</v>
      </c>
      <c r="D899" s="42" t="s">
        <v>476</v>
      </c>
      <c r="E899" s="42" t="s">
        <v>411</v>
      </c>
      <c r="F899" s="47">
        <v>92</v>
      </c>
      <c r="G899" s="44">
        <v>46351</v>
      </c>
      <c r="H899" s="45" t="e">
        <f t="shared" si="3"/>
        <v>#N/A</v>
      </c>
      <c r="I899" s="46">
        <v>46007.836770833332</v>
      </c>
    </row>
    <row r="900" spans="1:10">
      <c r="A900" s="40" t="s">
        <v>725</v>
      </c>
      <c r="B900" s="40" t="s">
        <v>726</v>
      </c>
      <c r="C900" s="41">
        <v>45971</v>
      </c>
      <c r="D900" s="42" t="s">
        <v>476</v>
      </c>
      <c r="E900" s="42" t="s">
        <v>411</v>
      </c>
      <c r="F900" s="47">
        <v>99.99</v>
      </c>
      <c r="G900" s="44">
        <v>46320</v>
      </c>
      <c r="H900" s="45" t="e">
        <f t="shared" si="3"/>
        <v>#N/A</v>
      </c>
      <c r="I900" s="46">
        <v>45973.476087962961</v>
      </c>
    </row>
    <row r="901" spans="1:10">
      <c r="A901" s="40" t="s">
        <v>725</v>
      </c>
      <c r="B901" s="40" t="s">
        <v>726</v>
      </c>
      <c r="C901" s="41">
        <v>45940</v>
      </c>
      <c r="D901" s="42" t="s">
        <v>476</v>
      </c>
      <c r="E901" s="42" t="s">
        <v>411</v>
      </c>
      <c r="F901" s="47">
        <v>0.15</v>
      </c>
      <c r="G901" s="44">
        <v>46290</v>
      </c>
      <c r="H901" s="45" t="e">
        <f t="shared" si="3"/>
        <v>#N/A</v>
      </c>
      <c r="I901" s="46">
        <v>45972.623692129629</v>
      </c>
    </row>
    <row r="902" spans="1:10">
      <c r="A902" s="40" t="s">
        <v>725</v>
      </c>
      <c r="B902" s="40" t="s">
        <v>726</v>
      </c>
      <c r="C902" s="41">
        <v>45910</v>
      </c>
      <c r="D902" s="42" t="s">
        <v>476</v>
      </c>
      <c r="E902" s="42" t="s">
        <v>411</v>
      </c>
      <c r="F902" s="47">
        <v>0.13</v>
      </c>
      <c r="G902" s="44">
        <v>46259</v>
      </c>
      <c r="H902" s="45" t="e">
        <f t="shared" si="3"/>
        <v>#N/A</v>
      </c>
      <c r="I902" s="46">
        <v>45936.650300925925</v>
      </c>
    </row>
    <row r="903" spans="1:10">
      <c r="A903" s="40" t="s">
        <v>725</v>
      </c>
      <c r="B903" s="40" t="s">
        <v>726</v>
      </c>
      <c r="C903" s="41">
        <v>45879</v>
      </c>
      <c r="D903" s="42" t="s">
        <v>476</v>
      </c>
      <c r="E903" s="42" t="s">
        <v>411</v>
      </c>
      <c r="F903" s="47">
        <v>0.86</v>
      </c>
      <c r="G903" s="44">
        <v>46228</v>
      </c>
      <c r="H903" s="45" t="e">
        <f t="shared" si="3"/>
        <v>#N/A</v>
      </c>
      <c r="I903" s="46">
        <v>45936.650300925925</v>
      </c>
    </row>
    <row r="904" spans="1:10">
      <c r="A904" s="40" t="s">
        <v>725</v>
      </c>
      <c r="B904" s="40" t="s">
        <v>726</v>
      </c>
      <c r="C904" s="41">
        <v>45848</v>
      </c>
      <c r="D904" s="42" t="s">
        <v>476</v>
      </c>
      <c r="E904" s="42" t="s">
        <v>411</v>
      </c>
      <c r="F904" s="47">
        <v>25</v>
      </c>
      <c r="G904" s="44">
        <v>46198</v>
      </c>
      <c r="H904" s="45" t="e">
        <f t="shared" si="3"/>
        <v>#N/A</v>
      </c>
      <c r="I904" s="46">
        <v>45936.650300925925</v>
      </c>
    </row>
    <row r="905" spans="1:10">
      <c r="A905" s="40" t="s">
        <v>725</v>
      </c>
      <c r="B905" s="40" t="s">
        <v>726</v>
      </c>
      <c r="C905" s="41">
        <v>45818</v>
      </c>
      <c r="D905" s="42" t="s">
        <v>476</v>
      </c>
      <c r="E905" s="42" t="s">
        <v>411</v>
      </c>
      <c r="F905" s="47">
        <v>57</v>
      </c>
      <c r="G905" s="44">
        <v>46167</v>
      </c>
      <c r="H905" s="45" t="e">
        <f t="shared" si="3"/>
        <v>#N/A</v>
      </c>
      <c r="I905" s="46">
        <v>45936.650300925925</v>
      </c>
    </row>
    <row r="906" spans="1:10">
      <c r="A906" s="40" t="s">
        <v>728</v>
      </c>
      <c r="B906" s="40" t="s">
        <v>729</v>
      </c>
      <c r="C906" s="41">
        <v>46122</v>
      </c>
      <c r="D906" s="42" t="s">
        <v>476</v>
      </c>
      <c r="E906" s="42" t="s">
        <v>411</v>
      </c>
      <c r="F906" s="43"/>
      <c r="G906" s="44">
        <v>46107</v>
      </c>
      <c r="H906" s="45" t="e">
        <f t="shared" si="3"/>
        <v>#N/A</v>
      </c>
      <c r="I906" s="46"/>
    </row>
    <row r="907" spans="1:10">
      <c r="A907" s="40" t="s">
        <v>728</v>
      </c>
      <c r="B907" s="40" t="s">
        <v>729</v>
      </c>
      <c r="C907" s="41">
        <v>46091</v>
      </c>
      <c r="D907" s="42" t="s">
        <v>476</v>
      </c>
      <c r="E907" s="42" t="s">
        <v>411</v>
      </c>
      <c r="F907" s="43"/>
      <c r="G907" s="44">
        <v>46079</v>
      </c>
      <c r="H907" s="45" t="e">
        <f t="shared" si="3"/>
        <v>#N/A</v>
      </c>
      <c r="I907" s="43"/>
    </row>
    <row r="908" spans="1:10">
      <c r="A908" s="40" t="s">
        <v>728</v>
      </c>
      <c r="B908" s="40" t="s">
        <v>729</v>
      </c>
      <c r="C908" s="41">
        <v>46063</v>
      </c>
      <c r="D908" s="42" t="s">
        <v>476</v>
      </c>
      <c r="E908" s="42" t="s">
        <v>411</v>
      </c>
      <c r="F908" s="47">
        <v>3.57</v>
      </c>
      <c r="G908" s="44">
        <v>46048</v>
      </c>
      <c r="H908" s="45" t="e">
        <f t="shared" si="3"/>
        <v>#N/A</v>
      </c>
      <c r="I908" s="46">
        <v>46064.700636574074</v>
      </c>
      <c r="J908" s="40" t="s">
        <v>730</v>
      </c>
    </row>
    <row r="909" spans="1:10">
      <c r="A909" s="40" t="s">
        <v>728</v>
      </c>
      <c r="B909" s="40" t="s">
        <v>729</v>
      </c>
      <c r="C909" s="41">
        <v>46032</v>
      </c>
      <c r="D909" s="42" t="s">
        <v>476</v>
      </c>
      <c r="E909" s="42" t="s">
        <v>411</v>
      </c>
      <c r="F909" s="47">
        <v>0</v>
      </c>
      <c r="G909" s="44">
        <v>46381</v>
      </c>
      <c r="H909" s="45" t="e">
        <f t="shared" si="3"/>
        <v>#N/A</v>
      </c>
      <c r="I909" s="46">
        <v>46031.753020833334</v>
      </c>
      <c r="J909" s="40" t="s">
        <v>731</v>
      </c>
    </row>
    <row r="910" spans="1:10">
      <c r="A910" s="40" t="s">
        <v>728</v>
      </c>
      <c r="B910" s="40" t="s">
        <v>729</v>
      </c>
      <c r="C910" s="41">
        <v>46001</v>
      </c>
      <c r="D910" s="42" t="s">
        <v>476</v>
      </c>
      <c r="E910" s="42" t="s">
        <v>411</v>
      </c>
      <c r="F910" s="47">
        <v>1.82</v>
      </c>
      <c r="G910" s="44">
        <v>46351</v>
      </c>
      <c r="H910" s="45" t="e">
        <f t="shared" si="3"/>
        <v>#N/A</v>
      </c>
      <c r="I910" s="46">
        <v>46006.727812500001</v>
      </c>
      <c r="J910" s="40" t="s">
        <v>732</v>
      </c>
    </row>
    <row r="911" spans="1:10">
      <c r="A911" s="40" t="s">
        <v>728</v>
      </c>
      <c r="B911" s="40" t="s">
        <v>729</v>
      </c>
      <c r="C911" s="41">
        <v>45971</v>
      </c>
      <c r="D911" s="42" t="s">
        <v>476</v>
      </c>
      <c r="E911" s="42" t="s">
        <v>411</v>
      </c>
      <c r="F911" s="47">
        <v>3.64</v>
      </c>
      <c r="G911" s="44">
        <v>46320</v>
      </c>
      <c r="H911" s="45" t="e">
        <f t="shared" si="3"/>
        <v>#N/A</v>
      </c>
      <c r="I911" s="46">
        <v>45974.775243055556</v>
      </c>
    </row>
    <row r="912" spans="1:10">
      <c r="A912" s="40" t="s">
        <v>728</v>
      </c>
      <c r="B912" s="40" t="s">
        <v>729</v>
      </c>
      <c r="C912" s="41">
        <v>45940</v>
      </c>
      <c r="D912" s="42" t="s">
        <v>476</v>
      </c>
      <c r="E912" s="42" t="s">
        <v>411</v>
      </c>
      <c r="F912" s="47">
        <v>3.57</v>
      </c>
      <c r="G912" s="44">
        <v>46290</v>
      </c>
      <c r="H912" s="45" t="e">
        <f t="shared" si="3"/>
        <v>#N/A</v>
      </c>
      <c r="I912" s="46">
        <v>45974.775196759256</v>
      </c>
    </row>
    <row r="913" spans="1:10">
      <c r="A913" s="40" t="s">
        <v>728</v>
      </c>
      <c r="B913" s="40" t="s">
        <v>729</v>
      </c>
      <c r="C913" s="41">
        <v>45910</v>
      </c>
      <c r="D913" s="42" t="s">
        <v>476</v>
      </c>
      <c r="E913" s="42" t="s">
        <v>411</v>
      </c>
      <c r="F913" s="47">
        <v>1.79</v>
      </c>
      <c r="G913" s="44">
        <v>46259</v>
      </c>
      <c r="H913" s="45" t="e">
        <f t="shared" si="3"/>
        <v>#N/A</v>
      </c>
      <c r="I913" s="46">
        <v>45938.716574074075</v>
      </c>
    </row>
    <row r="914" spans="1:10">
      <c r="A914" s="40" t="s">
        <v>728</v>
      </c>
      <c r="B914" s="40" t="s">
        <v>729</v>
      </c>
      <c r="C914" s="41">
        <v>45879</v>
      </c>
      <c r="D914" s="42" t="s">
        <v>476</v>
      </c>
      <c r="E914" s="42" t="s">
        <v>411</v>
      </c>
      <c r="F914" s="47">
        <v>1.75</v>
      </c>
      <c r="G914" s="44">
        <v>46228</v>
      </c>
      <c r="H914" s="45" t="e">
        <f t="shared" si="3"/>
        <v>#N/A</v>
      </c>
      <c r="I914" s="46">
        <v>45938.716574074075</v>
      </c>
    </row>
    <row r="915" spans="1:10">
      <c r="A915" s="40" t="s">
        <v>728</v>
      </c>
      <c r="B915" s="40" t="s">
        <v>729</v>
      </c>
      <c r="C915" s="41">
        <v>45848</v>
      </c>
      <c r="D915" s="42" t="s">
        <v>476</v>
      </c>
      <c r="E915" s="42" t="s">
        <v>411</v>
      </c>
      <c r="F915" s="47">
        <v>0</v>
      </c>
      <c r="G915" s="44">
        <v>46198</v>
      </c>
      <c r="H915" s="45" t="e">
        <f t="shared" si="3"/>
        <v>#N/A</v>
      </c>
      <c r="I915" s="46">
        <v>45938.716574074075</v>
      </c>
    </row>
    <row r="916" spans="1:10">
      <c r="A916" s="40" t="s">
        <v>728</v>
      </c>
      <c r="B916" s="40" t="s">
        <v>729</v>
      </c>
      <c r="C916" s="41">
        <v>45818</v>
      </c>
      <c r="D916" s="42" t="s">
        <v>476</v>
      </c>
      <c r="E916" s="42" t="s">
        <v>411</v>
      </c>
      <c r="F916" s="47">
        <v>6.78</v>
      </c>
      <c r="G916" s="44">
        <v>46167</v>
      </c>
      <c r="H916" s="45" t="e">
        <f t="shared" si="3"/>
        <v>#N/A</v>
      </c>
      <c r="I916" s="46">
        <v>45938.716574074075</v>
      </c>
    </row>
    <row r="917" spans="1:10">
      <c r="A917" s="40" t="s">
        <v>733</v>
      </c>
      <c r="B917" s="40" t="s">
        <v>734</v>
      </c>
      <c r="C917" s="41">
        <v>46122</v>
      </c>
      <c r="D917" s="42" t="s">
        <v>476</v>
      </c>
      <c r="E917" s="42" t="s">
        <v>411</v>
      </c>
      <c r="F917" s="43"/>
      <c r="G917" s="49">
        <v>46107</v>
      </c>
      <c r="H917" s="49">
        <v>46107</v>
      </c>
      <c r="I917" s="43"/>
    </row>
    <row r="918" spans="1:10">
      <c r="A918" s="40" t="s">
        <v>733</v>
      </c>
      <c r="B918" s="40" t="s">
        <v>734</v>
      </c>
      <c r="C918" s="41">
        <v>46091</v>
      </c>
      <c r="D918" s="42" t="s">
        <v>476</v>
      </c>
      <c r="E918" s="42" t="s">
        <v>411</v>
      </c>
      <c r="F918" s="43"/>
      <c r="G918" s="49">
        <v>46079</v>
      </c>
      <c r="H918" s="49">
        <v>46079</v>
      </c>
      <c r="I918" s="43"/>
    </row>
    <row r="919" spans="1:10">
      <c r="A919" s="40" t="s">
        <v>733</v>
      </c>
      <c r="B919" s="40" t="s">
        <v>734</v>
      </c>
      <c r="C919" s="41">
        <v>46063</v>
      </c>
      <c r="D919" s="42" t="s">
        <v>476</v>
      </c>
      <c r="E919" s="42" t="s">
        <v>411</v>
      </c>
      <c r="F919" s="47">
        <v>98</v>
      </c>
      <c r="G919" s="49">
        <v>46048</v>
      </c>
      <c r="H919" s="49">
        <v>46048</v>
      </c>
      <c r="I919" s="46">
        <v>46072.539212962962</v>
      </c>
      <c r="J919" s="40" t="s">
        <v>735</v>
      </c>
    </row>
    <row r="920" spans="1:10">
      <c r="A920" s="40" t="s">
        <v>733</v>
      </c>
      <c r="B920" s="40" t="s">
        <v>734</v>
      </c>
      <c r="C920" s="41">
        <v>46032</v>
      </c>
      <c r="D920" s="42" t="s">
        <v>476</v>
      </c>
      <c r="E920" s="42" t="s">
        <v>411</v>
      </c>
      <c r="F920" s="47">
        <v>100</v>
      </c>
      <c r="G920" s="49">
        <v>46381</v>
      </c>
      <c r="H920" s="49">
        <v>46381</v>
      </c>
      <c r="I920" s="46">
        <v>46037.597407407404</v>
      </c>
      <c r="J920" s="40" t="s">
        <v>736</v>
      </c>
    </row>
    <row r="921" spans="1:10">
      <c r="A921" s="40" t="s">
        <v>733</v>
      </c>
      <c r="B921" s="40" t="s">
        <v>734</v>
      </c>
      <c r="C921" s="41">
        <v>46001</v>
      </c>
      <c r="D921" s="42" t="s">
        <v>476</v>
      </c>
      <c r="E921" s="42" t="s">
        <v>411</v>
      </c>
      <c r="F921" s="47">
        <v>100</v>
      </c>
      <c r="G921" s="49">
        <v>46351</v>
      </c>
      <c r="H921" s="49">
        <v>46351</v>
      </c>
      <c r="I921" s="46">
        <v>46003.715648148151</v>
      </c>
    </row>
    <row r="922" spans="1:10">
      <c r="A922" s="40" t="s">
        <v>733</v>
      </c>
      <c r="B922" s="40" t="s">
        <v>734</v>
      </c>
      <c r="C922" s="41">
        <v>45971</v>
      </c>
      <c r="D922" s="42" t="s">
        <v>476</v>
      </c>
      <c r="E922" s="42" t="s">
        <v>411</v>
      </c>
      <c r="F922" s="47">
        <v>100</v>
      </c>
      <c r="G922" s="49">
        <v>46320</v>
      </c>
      <c r="H922" s="49">
        <v>46320</v>
      </c>
      <c r="I922" s="46">
        <v>45972.667534722219</v>
      </c>
    </row>
    <row r="923" spans="1:10">
      <c r="A923" s="40" t="s">
        <v>733</v>
      </c>
      <c r="B923" s="40" t="s">
        <v>734</v>
      </c>
      <c r="C923" s="41">
        <v>45940</v>
      </c>
      <c r="D923" s="42" t="s">
        <v>476</v>
      </c>
      <c r="E923" s="42" t="s">
        <v>411</v>
      </c>
      <c r="F923" s="47">
        <v>100</v>
      </c>
      <c r="G923" s="49">
        <v>46290</v>
      </c>
      <c r="H923" s="49">
        <v>46290</v>
      </c>
      <c r="I923" s="46">
        <v>45972.667592592596</v>
      </c>
    </row>
    <row r="924" spans="1:10">
      <c r="A924" s="40" t="s">
        <v>733</v>
      </c>
      <c r="B924" s="40" t="s">
        <v>734</v>
      </c>
      <c r="C924" s="41">
        <v>45910</v>
      </c>
      <c r="D924" s="42" t="s">
        <v>476</v>
      </c>
      <c r="E924" s="42" t="s">
        <v>411</v>
      </c>
      <c r="F924" s="47">
        <v>100</v>
      </c>
      <c r="G924" s="49">
        <v>46259</v>
      </c>
      <c r="H924" s="49">
        <v>46259</v>
      </c>
      <c r="I924" s="46">
        <v>45972.667662037034</v>
      </c>
    </row>
    <row r="925" spans="1:10">
      <c r="A925" s="40" t="s">
        <v>733</v>
      </c>
      <c r="B925" s="40" t="s">
        <v>734</v>
      </c>
      <c r="C925" s="41">
        <v>45879</v>
      </c>
      <c r="D925" s="42" t="s">
        <v>476</v>
      </c>
      <c r="E925" s="42" t="s">
        <v>411</v>
      </c>
      <c r="F925" s="47">
        <v>100</v>
      </c>
      <c r="G925" s="49">
        <v>46228</v>
      </c>
      <c r="H925" s="49">
        <v>46228</v>
      </c>
      <c r="I925" s="46">
        <v>45936.650289351855</v>
      </c>
    </row>
    <row r="926" spans="1:10">
      <c r="A926" s="40" t="s">
        <v>733</v>
      </c>
      <c r="B926" s="40" t="s">
        <v>734</v>
      </c>
      <c r="C926" s="41">
        <v>45848</v>
      </c>
      <c r="D926" s="42" t="s">
        <v>476</v>
      </c>
      <c r="E926" s="42" t="s">
        <v>411</v>
      </c>
      <c r="F926" s="47">
        <v>100</v>
      </c>
      <c r="G926" s="49">
        <v>46198</v>
      </c>
      <c r="H926" s="49">
        <v>46198</v>
      </c>
      <c r="I926" s="46">
        <v>45936.650289351855</v>
      </c>
    </row>
    <row r="927" spans="1:10">
      <c r="A927" s="40" t="s">
        <v>733</v>
      </c>
      <c r="B927" s="40" t="s">
        <v>734</v>
      </c>
      <c r="C927" s="41">
        <v>45818</v>
      </c>
      <c r="D927" s="42" t="s">
        <v>476</v>
      </c>
      <c r="E927" s="42" t="s">
        <v>411</v>
      </c>
      <c r="F927" s="47">
        <v>100</v>
      </c>
      <c r="G927" s="49">
        <v>46167</v>
      </c>
      <c r="H927" s="49">
        <v>46167</v>
      </c>
      <c r="I927" s="46">
        <v>45936.650277777779</v>
      </c>
    </row>
    <row r="928" spans="1:10">
      <c r="A928" s="40" t="s">
        <v>733</v>
      </c>
      <c r="B928" s="40" t="s">
        <v>734</v>
      </c>
      <c r="C928" s="41">
        <v>45787</v>
      </c>
      <c r="D928" s="42" t="s">
        <v>476</v>
      </c>
      <c r="E928" s="42" t="s">
        <v>411</v>
      </c>
      <c r="F928" s="47">
        <v>100</v>
      </c>
      <c r="G928" s="49">
        <v>46137</v>
      </c>
      <c r="H928" s="49">
        <v>46137</v>
      </c>
      <c r="I928" s="46">
        <v>45936.650277777779</v>
      </c>
    </row>
    <row r="929" spans="1:9">
      <c r="A929" s="40" t="s">
        <v>733</v>
      </c>
      <c r="B929" s="40" t="s">
        <v>734</v>
      </c>
      <c r="C929" s="41">
        <v>45757</v>
      </c>
      <c r="D929" s="42" t="s">
        <v>476</v>
      </c>
      <c r="E929" s="42" t="s">
        <v>411</v>
      </c>
      <c r="F929" s="47">
        <v>100</v>
      </c>
      <c r="G929" s="49">
        <v>46106</v>
      </c>
      <c r="H929" s="49">
        <v>46106</v>
      </c>
      <c r="I929" s="46">
        <v>45936.650277777779</v>
      </c>
    </row>
    <row r="930" spans="1:9">
      <c r="A930" s="40" t="s">
        <v>733</v>
      </c>
      <c r="B930" s="40" t="s">
        <v>734</v>
      </c>
      <c r="C930" s="41">
        <v>45726</v>
      </c>
      <c r="D930" s="42" t="s">
        <v>476</v>
      </c>
      <c r="E930" s="42" t="s">
        <v>411</v>
      </c>
      <c r="F930" s="47">
        <v>100</v>
      </c>
      <c r="G930" s="49">
        <v>46078</v>
      </c>
      <c r="H930" s="49">
        <v>46078</v>
      </c>
      <c r="I930" s="46">
        <v>45936.650277777779</v>
      </c>
    </row>
    <row r="931" spans="1:9">
      <c r="A931" s="40" t="s">
        <v>733</v>
      </c>
      <c r="B931" s="40" t="s">
        <v>734</v>
      </c>
      <c r="C931" s="41">
        <v>45698</v>
      </c>
      <c r="D931" s="42" t="s">
        <v>476</v>
      </c>
      <c r="E931" s="42" t="s">
        <v>411</v>
      </c>
      <c r="F931" s="47">
        <v>100</v>
      </c>
      <c r="G931" s="49">
        <v>46047</v>
      </c>
      <c r="H931" s="49">
        <v>46047</v>
      </c>
      <c r="I931" s="46">
        <v>45972.66777777778</v>
      </c>
    </row>
    <row r="932" spans="1:9">
      <c r="A932" s="40" t="s">
        <v>737</v>
      </c>
      <c r="B932" s="40" t="s">
        <v>738</v>
      </c>
      <c r="C932" s="41">
        <v>46122</v>
      </c>
      <c r="D932" s="42" t="s">
        <v>410</v>
      </c>
      <c r="E932" s="42" t="s">
        <v>411</v>
      </c>
      <c r="F932" s="43"/>
      <c r="G932" s="44">
        <v>46107</v>
      </c>
      <c r="H932" s="45" t="e">
        <f t="shared" ref="H932:H1031" si="4">DATE(2000+RIGHT(G932,2),MATCH(LEFT(G932,3),{"jan";"fev";"mar";"abr";"mai";"jun";"jul";"ago";"set";"out";"nov";"dez"},0),1)</f>
        <v>#N/A</v>
      </c>
      <c r="I932" s="46"/>
    </row>
    <row r="933" spans="1:9">
      <c r="A933" s="40" t="s">
        <v>737</v>
      </c>
      <c r="B933" s="40" t="s">
        <v>738</v>
      </c>
      <c r="C933" s="41">
        <v>46091</v>
      </c>
      <c r="D933" s="42" t="s">
        <v>410</v>
      </c>
      <c r="E933" s="42" t="s">
        <v>411</v>
      </c>
      <c r="F933" s="43"/>
      <c r="G933" s="44">
        <v>46079</v>
      </c>
      <c r="H933" s="45" t="e">
        <f t="shared" si="4"/>
        <v>#N/A</v>
      </c>
      <c r="I933" s="43"/>
    </row>
    <row r="934" spans="1:9">
      <c r="A934" s="40" t="s">
        <v>737</v>
      </c>
      <c r="B934" s="40" t="s">
        <v>738</v>
      </c>
      <c r="C934" s="41">
        <v>46063</v>
      </c>
      <c r="D934" s="42" t="s">
        <v>410</v>
      </c>
      <c r="E934" s="42" t="s">
        <v>411</v>
      </c>
      <c r="F934" s="47">
        <v>121167.28</v>
      </c>
      <c r="G934" s="44">
        <v>46048</v>
      </c>
      <c r="H934" s="45" t="e">
        <f t="shared" si="4"/>
        <v>#N/A</v>
      </c>
      <c r="I934" s="46">
        <v>46070.629652777781</v>
      </c>
    </row>
    <row r="935" spans="1:9">
      <c r="A935" s="40" t="s">
        <v>737</v>
      </c>
      <c r="B935" s="40" t="s">
        <v>738</v>
      </c>
      <c r="C935" s="41">
        <v>46032</v>
      </c>
      <c r="D935" s="42" t="s">
        <v>410</v>
      </c>
      <c r="E935" s="42" t="s">
        <v>411</v>
      </c>
      <c r="F935" s="47">
        <v>128970.44</v>
      </c>
      <c r="G935" s="44">
        <v>46381</v>
      </c>
      <c r="H935" s="45" t="e">
        <f t="shared" si="4"/>
        <v>#N/A</v>
      </c>
      <c r="I935" s="46">
        <v>46041.560312499998</v>
      </c>
    </row>
    <row r="936" spans="1:9">
      <c r="A936" s="40" t="s">
        <v>737</v>
      </c>
      <c r="B936" s="40" t="s">
        <v>738</v>
      </c>
      <c r="C936" s="41">
        <v>46001</v>
      </c>
      <c r="D936" s="42" t="s">
        <v>410</v>
      </c>
      <c r="E936" s="42" t="s">
        <v>411</v>
      </c>
      <c r="F936" s="47">
        <v>111154.98</v>
      </c>
      <c r="G936" s="44">
        <v>46351</v>
      </c>
      <c r="H936" s="45" t="e">
        <f t="shared" si="4"/>
        <v>#N/A</v>
      </c>
      <c r="I936" s="46">
        <v>46002.896192129629</v>
      </c>
    </row>
    <row r="937" spans="1:9">
      <c r="A937" s="40" t="s">
        <v>737</v>
      </c>
      <c r="B937" s="40" t="s">
        <v>738</v>
      </c>
      <c r="C937" s="41">
        <v>45971</v>
      </c>
      <c r="D937" s="42" t="s">
        <v>410</v>
      </c>
      <c r="E937" s="42" t="s">
        <v>411</v>
      </c>
      <c r="F937" s="47">
        <v>109039.66</v>
      </c>
      <c r="G937" s="44">
        <v>46320</v>
      </c>
      <c r="H937" s="45" t="e">
        <f t="shared" si="4"/>
        <v>#N/A</v>
      </c>
      <c r="I937" s="46">
        <v>46002.895972222221</v>
      </c>
    </row>
    <row r="938" spans="1:9">
      <c r="A938" s="40" t="s">
        <v>737</v>
      </c>
      <c r="B938" s="40" t="s">
        <v>738</v>
      </c>
      <c r="C938" s="41">
        <v>45940</v>
      </c>
      <c r="D938" s="42" t="s">
        <v>410</v>
      </c>
      <c r="E938" s="42" t="s">
        <v>411</v>
      </c>
      <c r="F938" s="47">
        <v>102545.12</v>
      </c>
      <c r="G938" s="44">
        <v>46290</v>
      </c>
      <c r="H938" s="45" t="e">
        <f t="shared" si="4"/>
        <v>#N/A</v>
      </c>
      <c r="I938" s="46">
        <v>46002.895613425928</v>
      </c>
    </row>
    <row r="939" spans="1:9">
      <c r="A939" s="40" t="s">
        <v>737</v>
      </c>
      <c r="B939" s="40" t="s">
        <v>738</v>
      </c>
      <c r="C939" s="41">
        <v>45910</v>
      </c>
      <c r="D939" s="42" t="s">
        <v>410</v>
      </c>
      <c r="E939" s="42" t="s">
        <v>411</v>
      </c>
      <c r="F939" s="47">
        <v>104133.86</v>
      </c>
      <c r="G939" s="44">
        <v>46259</v>
      </c>
      <c r="H939" s="45" t="e">
        <f t="shared" si="4"/>
        <v>#N/A</v>
      </c>
      <c r="I939" s="46">
        <v>46002.895439814813</v>
      </c>
    </row>
    <row r="940" spans="1:9">
      <c r="A940" s="40" t="s">
        <v>737</v>
      </c>
      <c r="B940" s="40" t="s">
        <v>738</v>
      </c>
      <c r="C940" s="41">
        <v>45879</v>
      </c>
      <c r="D940" s="42" t="s">
        <v>410</v>
      </c>
      <c r="E940" s="42" t="s">
        <v>411</v>
      </c>
      <c r="F940" s="47">
        <v>121376.23</v>
      </c>
      <c r="G940" s="44">
        <v>46228</v>
      </c>
      <c r="H940" s="45" t="e">
        <f t="shared" si="4"/>
        <v>#N/A</v>
      </c>
      <c r="I940" s="46">
        <v>46002.894641203704</v>
      </c>
    </row>
    <row r="941" spans="1:9">
      <c r="A941" s="40" t="s">
        <v>737</v>
      </c>
      <c r="B941" s="40" t="s">
        <v>738</v>
      </c>
      <c r="C941" s="41">
        <v>45848</v>
      </c>
      <c r="D941" s="42" t="s">
        <v>410</v>
      </c>
      <c r="E941" s="42" t="s">
        <v>411</v>
      </c>
      <c r="F941" s="47">
        <v>114365.4</v>
      </c>
      <c r="G941" s="44">
        <v>46198</v>
      </c>
      <c r="H941" s="45" t="e">
        <f t="shared" si="4"/>
        <v>#N/A</v>
      </c>
      <c r="I941" s="46">
        <v>46002.89439814815</v>
      </c>
    </row>
    <row r="942" spans="1:9">
      <c r="A942" s="40" t="s">
        <v>737</v>
      </c>
      <c r="B942" s="40" t="s">
        <v>738</v>
      </c>
      <c r="C942" s="41">
        <v>45818</v>
      </c>
      <c r="D942" s="42" t="s">
        <v>410</v>
      </c>
      <c r="E942" s="42" t="s">
        <v>411</v>
      </c>
      <c r="F942" s="47">
        <v>107161.39</v>
      </c>
      <c r="G942" s="44">
        <v>46167</v>
      </c>
      <c r="H942" s="45" t="e">
        <f t="shared" si="4"/>
        <v>#N/A</v>
      </c>
      <c r="I942" s="46">
        <v>46002.894212962965</v>
      </c>
    </row>
    <row r="943" spans="1:9">
      <c r="A943" s="40" t="s">
        <v>737</v>
      </c>
      <c r="B943" s="40" t="s">
        <v>738</v>
      </c>
      <c r="C943" s="41">
        <v>45787</v>
      </c>
      <c r="D943" s="42" t="s">
        <v>410</v>
      </c>
      <c r="E943" s="42" t="s">
        <v>411</v>
      </c>
      <c r="F943" s="47">
        <v>100977.44</v>
      </c>
      <c r="G943" s="44">
        <v>46137</v>
      </c>
      <c r="H943" s="45" t="e">
        <f t="shared" si="4"/>
        <v>#N/A</v>
      </c>
      <c r="I943" s="46">
        <v>46002.893969907411</v>
      </c>
    </row>
    <row r="944" spans="1:9">
      <c r="A944" s="40" t="s">
        <v>737</v>
      </c>
      <c r="B944" s="40" t="s">
        <v>738</v>
      </c>
      <c r="C944" s="41">
        <v>45757</v>
      </c>
      <c r="D944" s="42" t="s">
        <v>410</v>
      </c>
      <c r="E944" s="42" t="s">
        <v>411</v>
      </c>
      <c r="F944" s="47">
        <v>117424.84</v>
      </c>
      <c r="G944" s="44">
        <v>46106</v>
      </c>
      <c r="H944" s="45" t="e">
        <f t="shared" si="4"/>
        <v>#N/A</v>
      </c>
      <c r="I944" s="46">
        <v>46002.893773148149</v>
      </c>
    </row>
    <row r="945" spans="1:10">
      <c r="A945" s="40" t="s">
        <v>739</v>
      </c>
      <c r="B945" s="40" t="s">
        <v>740</v>
      </c>
      <c r="C945" s="41">
        <v>46122</v>
      </c>
      <c r="D945" s="42" t="s">
        <v>476</v>
      </c>
      <c r="E945" s="42" t="s">
        <v>411</v>
      </c>
      <c r="F945" s="47"/>
      <c r="G945" s="44">
        <v>46107</v>
      </c>
      <c r="H945" s="45" t="e">
        <f t="shared" si="4"/>
        <v>#N/A</v>
      </c>
      <c r="I945" s="46"/>
    </row>
    <row r="946" spans="1:10">
      <c r="A946" s="40" t="s">
        <v>739</v>
      </c>
      <c r="B946" s="40" t="s">
        <v>740</v>
      </c>
      <c r="C946" s="41">
        <v>46091</v>
      </c>
      <c r="D946" s="42" t="s">
        <v>476</v>
      </c>
      <c r="E946" s="42" t="s">
        <v>411</v>
      </c>
      <c r="F946" s="47"/>
      <c r="G946" s="44">
        <v>46079</v>
      </c>
      <c r="H946" s="45" t="e">
        <f t="shared" si="4"/>
        <v>#N/A</v>
      </c>
      <c r="I946" s="46"/>
    </row>
    <row r="947" spans="1:10">
      <c r="A947" s="40" t="s">
        <v>739</v>
      </c>
      <c r="B947" s="40" t="s">
        <v>740</v>
      </c>
      <c r="C947" s="41">
        <v>46063</v>
      </c>
      <c r="D947" s="42" t="s">
        <v>476</v>
      </c>
      <c r="E947" s="42" t="s">
        <v>411</v>
      </c>
      <c r="F947" s="47">
        <v>100</v>
      </c>
      <c r="G947" s="44">
        <v>46048</v>
      </c>
      <c r="H947" s="45" t="e">
        <f t="shared" si="4"/>
        <v>#N/A</v>
      </c>
      <c r="I947" s="46">
        <v>46054.634016203701</v>
      </c>
    </row>
    <row r="948" spans="1:10">
      <c r="A948" s="40" t="s">
        <v>739</v>
      </c>
      <c r="B948" s="40" t="s">
        <v>740</v>
      </c>
      <c r="C948" s="41">
        <v>46032</v>
      </c>
      <c r="D948" s="42" t="s">
        <v>476</v>
      </c>
      <c r="E948" s="42" t="s">
        <v>411</v>
      </c>
      <c r="F948" s="47">
        <v>98.8</v>
      </c>
      <c r="G948" s="44">
        <v>46381</v>
      </c>
      <c r="H948" s="45" t="e">
        <f t="shared" si="4"/>
        <v>#N/A</v>
      </c>
      <c r="I948" s="46">
        <v>46036.776631944442</v>
      </c>
    </row>
    <row r="949" spans="1:10">
      <c r="A949" s="40" t="s">
        <v>739</v>
      </c>
      <c r="B949" s="40" t="s">
        <v>740</v>
      </c>
      <c r="C949" s="41">
        <v>46001</v>
      </c>
      <c r="D949" s="42" t="s">
        <v>476</v>
      </c>
      <c r="E949" s="42" t="s">
        <v>411</v>
      </c>
      <c r="F949" s="47">
        <v>96.46</v>
      </c>
      <c r="G949" s="44">
        <v>46351</v>
      </c>
      <c r="H949" s="45" t="e">
        <f t="shared" si="4"/>
        <v>#N/A</v>
      </c>
      <c r="I949" s="46">
        <v>46003.658796296295</v>
      </c>
      <c r="J949" s="40" t="s">
        <v>741</v>
      </c>
    </row>
    <row r="950" spans="1:10">
      <c r="A950" s="40" t="s">
        <v>739</v>
      </c>
      <c r="B950" s="40" t="s">
        <v>740</v>
      </c>
      <c r="C950" s="41">
        <v>45971</v>
      </c>
      <c r="D950" s="42" t="s">
        <v>476</v>
      </c>
      <c r="E950" s="42" t="s">
        <v>411</v>
      </c>
      <c r="F950" s="47">
        <v>100</v>
      </c>
      <c r="G950" s="44">
        <v>46320</v>
      </c>
      <c r="H950" s="45" t="e">
        <f t="shared" si="4"/>
        <v>#N/A</v>
      </c>
      <c r="I950" s="46">
        <v>46003.648263888892</v>
      </c>
      <c r="J950" s="40" t="s">
        <v>742</v>
      </c>
    </row>
    <row r="951" spans="1:10">
      <c r="A951" s="40" t="s">
        <v>739</v>
      </c>
      <c r="B951" s="40" t="s">
        <v>740</v>
      </c>
      <c r="C951" s="41">
        <v>45940</v>
      </c>
      <c r="D951" s="42" t="s">
        <v>476</v>
      </c>
      <c r="E951" s="42" t="s">
        <v>411</v>
      </c>
      <c r="F951" s="47">
        <v>100</v>
      </c>
      <c r="G951" s="44">
        <v>46290</v>
      </c>
      <c r="H951" s="45" t="e">
        <f t="shared" si="4"/>
        <v>#N/A</v>
      </c>
      <c r="I951" s="46">
        <v>46003.646284722221</v>
      </c>
      <c r="J951" s="40" t="s">
        <v>743</v>
      </c>
    </row>
    <row r="952" spans="1:10">
      <c r="A952" s="40" t="s">
        <v>739</v>
      </c>
      <c r="B952" s="40" t="s">
        <v>740</v>
      </c>
      <c r="C952" s="41">
        <v>45910</v>
      </c>
      <c r="D952" s="42" t="s">
        <v>476</v>
      </c>
      <c r="E952" s="42" t="s">
        <v>411</v>
      </c>
      <c r="F952" s="47">
        <v>98.28</v>
      </c>
      <c r="G952" s="44">
        <v>46259</v>
      </c>
      <c r="H952" s="45" t="e">
        <f t="shared" si="4"/>
        <v>#N/A</v>
      </c>
      <c r="I952" s="46">
        <v>46003.645578703705</v>
      </c>
      <c r="J952" s="40" t="s">
        <v>744</v>
      </c>
    </row>
    <row r="953" spans="1:10">
      <c r="A953" s="40" t="s">
        <v>739</v>
      </c>
      <c r="B953" s="40" t="s">
        <v>740</v>
      </c>
      <c r="C953" s="41">
        <v>45879</v>
      </c>
      <c r="D953" s="42" t="s">
        <v>476</v>
      </c>
      <c r="E953" s="42" t="s">
        <v>411</v>
      </c>
      <c r="F953" s="47">
        <v>100</v>
      </c>
      <c r="G953" s="44">
        <v>46228</v>
      </c>
      <c r="H953" s="45" t="e">
        <f t="shared" si="4"/>
        <v>#N/A</v>
      </c>
      <c r="I953" s="46">
        <v>45936.645150462966</v>
      </c>
    </row>
    <row r="954" spans="1:10">
      <c r="A954" s="40" t="s">
        <v>739</v>
      </c>
      <c r="B954" s="40" t="s">
        <v>740</v>
      </c>
      <c r="C954" s="41">
        <v>45848</v>
      </c>
      <c r="D954" s="42" t="s">
        <v>476</v>
      </c>
      <c r="E954" s="42" t="s">
        <v>411</v>
      </c>
      <c r="F954" s="47">
        <v>100</v>
      </c>
      <c r="G954" s="44">
        <v>46198</v>
      </c>
      <c r="H954" s="45" t="e">
        <f t="shared" si="4"/>
        <v>#N/A</v>
      </c>
      <c r="I954" s="46">
        <v>45936.645150462966</v>
      </c>
    </row>
    <row r="955" spans="1:10">
      <c r="A955" s="40" t="s">
        <v>739</v>
      </c>
      <c r="B955" s="40" t="s">
        <v>740</v>
      </c>
      <c r="C955" s="41">
        <v>45818</v>
      </c>
      <c r="D955" s="42" t="s">
        <v>476</v>
      </c>
      <c r="E955" s="42" t="s">
        <v>411</v>
      </c>
      <c r="F955" s="47">
        <v>99</v>
      </c>
      <c r="G955" s="44">
        <v>46167</v>
      </c>
      <c r="H955" s="45" t="e">
        <f t="shared" si="4"/>
        <v>#N/A</v>
      </c>
      <c r="I955" s="46">
        <v>45936.645150462966</v>
      </c>
    </row>
    <row r="956" spans="1:10">
      <c r="A956" s="40" t="s">
        <v>739</v>
      </c>
      <c r="B956" s="40" t="s">
        <v>740</v>
      </c>
      <c r="C956" s="41">
        <v>45787</v>
      </c>
      <c r="D956" s="42" t="s">
        <v>476</v>
      </c>
      <c r="E956" s="42" t="s">
        <v>411</v>
      </c>
      <c r="F956" s="47">
        <v>99</v>
      </c>
      <c r="G956" s="44">
        <v>46137</v>
      </c>
      <c r="H956" s="45" t="e">
        <f t="shared" si="4"/>
        <v>#N/A</v>
      </c>
      <c r="I956" s="46">
        <v>45936.645150462966</v>
      </c>
    </row>
    <row r="957" spans="1:10">
      <c r="A957" s="40" t="s">
        <v>745</v>
      </c>
      <c r="B957" s="40" t="s">
        <v>746</v>
      </c>
      <c r="C957" s="41">
        <v>46122</v>
      </c>
      <c r="D957" s="42" t="s">
        <v>476</v>
      </c>
      <c r="E957" s="42" t="s">
        <v>411</v>
      </c>
      <c r="F957" s="47"/>
      <c r="G957" s="44">
        <v>46107</v>
      </c>
      <c r="H957" s="45" t="e">
        <f t="shared" si="4"/>
        <v>#N/A</v>
      </c>
      <c r="I957" s="46"/>
    </row>
    <row r="958" spans="1:10">
      <c r="A958" s="40" t="s">
        <v>745</v>
      </c>
      <c r="B958" s="40" t="s">
        <v>746</v>
      </c>
      <c r="C958" s="41">
        <v>46091</v>
      </c>
      <c r="D958" s="42" t="s">
        <v>476</v>
      </c>
      <c r="E958" s="42" t="s">
        <v>411</v>
      </c>
      <c r="F958" s="47"/>
      <c r="G958" s="44">
        <v>46079</v>
      </c>
      <c r="H958" s="45" t="e">
        <f t="shared" si="4"/>
        <v>#N/A</v>
      </c>
      <c r="I958" s="46"/>
    </row>
    <row r="959" spans="1:10">
      <c r="A959" s="40" t="s">
        <v>745</v>
      </c>
      <c r="B959" s="40" t="s">
        <v>746</v>
      </c>
      <c r="C959" s="41">
        <v>46063</v>
      </c>
      <c r="D959" s="42" t="s">
        <v>476</v>
      </c>
      <c r="E959" s="42" t="s">
        <v>411</v>
      </c>
      <c r="F959" s="47">
        <v>39</v>
      </c>
      <c r="G959" s="44">
        <v>46048</v>
      </c>
      <c r="H959" s="45" t="e">
        <f t="shared" si="4"/>
        <v>#N/A</v>
      </c>
      <c r="I959" s="46">
        <v>46064.761736111112</v>
      </c>
      <c r="J959" s="40" t="s">
        <v>747</v>
      </c>
    </row>
    <row r="960" spans="1:10">
      <c r="A960" s="40" t="s">
        <v>745</v>
      </c>
      <c r="B960" s="40" t="s">
        <v>746</v>
      </c>
      <c r="C960" s="41">
        <v>46032</v>
      </c>
      <c r="D960" s="42" t="s">
        <v>476</v>
      </c>
      <c r="E960" s="42" t="s">
        <v>411</v>
      </c>
      <c r="F960" s="47">
        <v>12</v>
      </c>
      <c r="G960" s="44">
        <v>46381</v>
      </c>
      <c r="H960" s="45" t="e">
        <f t="shared" si="4"/>
        <v>#N/A</v>
      </c>
      <c r="I960" s="46">
        <v>46036.779479166667</v>
      </c>
    </row>
    <row r="961" spans="1:10">
      <c r="A961" s="40" t="s">
        <v>745</v>
      </c>
      <c r="B961" s="40" t="s">
        <v>746</v>
      </c>
      <c r="C961" s="41">
        <v>46001</v>
      </c>
      <c r="D961" s="42" t="s">
        <v>476</v>
      </c>
      <c r="E961" s="42" t="s">
        <v>411</v>
      </c>
      <c r="F961" s="47">
        <v>8</v>
      </c>
      <c r="G961" s="44">
        <v>46351</v>
      </c>
      <c r="H961" s="45" t="e">
        <f t="shared" si="4"/>
        <v>#N/A</v>
      </c>
      <c r="I961" s="46">
        <v>46007.769456018519</v>
      </c>
      <c r="J961" s="48">
        <v>0.08</v>
      </c>
    </row>
    <row r="962" spans="1:10">
      <c r="A962" s="40" t="s">
        <v>745</v>
      </c>
      <c r="B962" s="40" t="s">
        <v>746</v>
      </c>
      <c r="C962" s="41">
        <v>45971</v>
      </c>
      <c r="D962" s="42" t="s">
        <v>476</v>
      </c>
      <c r="E962" s="42" t="s">
        <v>411</v>
      </c>
      <c r="F962" s="47">
        <v>14</v>
      </c>
      <c r="G962" s="44">
        <v>46320</v>
      </c>
      <c r="H962" s="45" t="e">
        <f t="shared" si="4"/>
        <v>#N/A</v>
      </c>
      <c r="I962" s="46">
        <v>46003.670162037037</v>
      </c>
      <c r="J962" s="40" t="s">
        <v>748</v>
      </c>
    </row>
    <row r="963" spans="1:10">
      <c r="A963" s="40" t="s">
        <v>745</v>
      </c>
      <c r="B963" s="40" t="s">
        <v>746</v>
      </c>
      <c r="C963" s="41">
        <v>45940</v>
      </c>
      <c r="D963" s="42" t="s">
        <v>476</v>
      </c>
      <c r="E963" s="42" t="s">
        <v>411</v>
      </c>
      <c r="F963" s="47">
        <v>4</v>
      </c>
      <c r="G963" s="44">
        <v>46290</v>
      </c>
      <c r="H963" s="45" t="e">
        <f t="shared" si="4"/>
        <v>#N/A</v>
      </c>
      <c r="I963" s="46">
        <v>46003.669849537036</v>
      </c>
      <c r="J963" s="40" t="s">
        <v>748</v>
      </c>
    </row>
    <row r="964" spans="1:10">
      <c r="A964" s="40" t="s">
        <v>745</v>
      </c>
      <c r="B964" s="40" t="s">
        <v>746</v>
      </c>
      <c r="C964" s="41">
        <v>45910</v>
      </c>
      <c r="D964" s="42" t="s">
        <v>476</v>
      </c>
      <c r="E964" s="42" t="s">
        <v>411</v>
      </c>
      <c r="F964" s="47">
        <v>5</v>
      </c>
      <c r="G964" s="44">
        <v>46259</v>
      </c>
      <c r="H964" s="45" t="e">
        <f t="shared" si="4"/>
        <v>#N/A</v>
      </c>
      <c r="I964" s="46">
        <v>46003.669398148151</v>
      </c>
      <c r="J964" s="40" t="s">
        <v>749</v>
      </c>
    </row>
    <row r="965" spans="1:10">
      <c r="A965" s="40" t="s">
        <v>745</v>
      </c>
      <c r="B965" s="40" t="s">
        <v>746</v>
      </c>
      <c r="C965" s="41">
        <v>45879</v>
      </c>
      <c r="D965" s="42" t="s">
        <v>476</v>
      </c>
      <c r="E965" s="42" t="s">
        <v>411</v>
      </c>
      <c r="F965" s="47">
        <v>1</v>
      </c>
      <c r="G965" s="44">
        <v>46228</v>
      </c>
      <c r="H965" s="45" t="e">
        <f t="shared" si="4"/>
        <v>#N/A</v>
      </c>
      <c r="I965" s="46">
        <v>45936.650300925925</v>
      </c>
    </row>
    <row r="966" spans="1:10">
      <c r="A966" s="40" t="s">
        <v>745</v>
      </c>
      <c r="B966" s="40" t="s">
        <v>746</v>
      </c>
      <c r="C966" s="41">
        <v>45848</v>
      </c>
      <c r="D966" s="42" t="s">
        <v>476</v>
      </c>
      <c r="E966" s="42" t="s">
        <v>411</v>
      </c>
      <c r="F966" s="47">
        <v>5</v>
      </c>
      <c r="G966" s="44">
        <v>46198</v>
      </c>
      <c r="H966" s="45" t="e">
        <f t="shared" si="4"/>
        <v>#N/A</v>
      </c>
      <c r="I966" s="46">
        <v>45936.650300925925</v>
      </c>
    </row>
    <row r="967" spans="1:10">
      <c r="A967" s="40" t="s">
        <v>745</v>
      </c>
      <c r="B967" s="40" t="s">
        <v>746</v>
      </c>
      <c r="C967" s="41">
        <v>45818</v>
      </c>
      <c r="D967" s="42" t="s">
        <v>476</v>
      </c>
      <c r="E967" s="42" t="s">
        <v>411</v>
      </c>
      <c r="F967" s="47">
        <v>-2.02</v>
      </c>
      <c r="G967" s="44">
        <v>46167</v>
      </c>
      <c r="H967" s="45" t="e">
        <f t="shared" si="4"/>
        <v>#N/A</v>
      </c>
      <c r="I967" s="46">
        <v>45936.650300925925</v>
      </c>
    </row>
    <row r="968" spans="1:10">
      <c r="A968" s="40" t="s">
        <v>745</v>
      </c>
      <c r="B968" s="40" t="s">
        <v>746</v>
      </c>
      <c r="C968" s="41">
        <v>45787</v>
      </c>
      <c r="D968" s="42" t="s">
        <v>476</v>
      </c>
      <c r="E968" s="42" t="s">
        <v>411</v>
      </c>
      <c r="F968" s="47">
        <v>-8.34</v>
      </c>
      <c r="G968" s="44">
        <v>46137</v>
      </c>
      <c r="H968" s="45" t="e">
        <f t="shared" si="4"/>
        <v>#N/A</v>
      </c>
      <c r="I968" s="46">
        <v>45936.650300925925</v>
      </c>
    </row>
    <row r="969" spans="1:10">
      <c r="A969" s="40" t="s">
        <v>750</v>
      </c>
      <c r="B969" s="40" t="s">
        <v>751</v>
      </c>
      <c r="C969" s="41">
        <v>46122</v>
      </c>
      <c r="D969" s="42" t="s">
        <v>410</v>
      </c>
      <c r="E969" s="42" t="s">
        <v>411</v>
      </c>
      <c r="F969" s="47"/>
      <c r="G969" s="44">
        <v>46107</v>
      </c>
      <c r="H969" s="45" t="e">
        <f t="shared" si="4"/>
        <v>#N/A</v>
      </c>
      <c r="I969" s="46"/>
    </row>
    <row r="970" spans="1:10">
      <c r="A970" s="40" t="s">
        <v>750</v>
      </c>
      <c r="B970" s="40" t="s">
        <v>751</v>
      </c>
      <c r="C970" s="41">
        <v>46091</v>
      </c>
      <c r="D970" s="42" t="s">
        <v>410</v>
      </c>
      <c r="E970" s="42" t="s">
        <v>411</v>
      </c>
      <c r="F970" s="47"/>
      <c r="G970" s="44">
        <v>46079</v>
      </c>
      <c r="H970" s="45" t="e">
        <f t="shared" si="4"/>
        <v>#N/A</v>
      </c>
      <c r="I970" s="46"/>
    </row>
    <row r="971" spans="1:10">
      <c r="A971" s="40" t="s">
        <v>750</v>
      </c>
      <c r="B971" s="40" t="s">
        <v>751</v>
      </c>
      <c r="C971" s="41">
        <v>46063</v>
      </c>
      <c r="D971" s="42" t="s">
        <v>410</v>
      </c>
      <c r="E971" s="42" t="s">
        <v>411</v>
      </c>
      <c r="F971" s="47">
        <v>557070.25</v>
      </c>
      <c r="G971" s="44">
        <v>46048</v>
      </c>
      <c r="H971" s="45" t="e">
        <f t="shared" si="4"/>
        <v>#N/A</v>
      </c>
      <c r="I971" s="46">
        <v>46072.494085648148</v>
      </c>
    </row>
    <row r="972" spans="1:10">
      <c r="A972" s="40" t="s">
        <v>750</v>
      </c>
      <c r="B972" s="40" t="s">
        <v>751</v>
      </c>
      <c r="C972" s="41">
        <v>46032</v>
      </c>
      <c r="D972" s="42" t="s">
        <v>410</v>
      </c>
      <c r="E972" s="42" t="s">
        <v>411</v>
      </c>
      <c r="F972" s="47">
        <v>502662.14</v>
      </c>
      <c r="G972" s="44">
        <v>46381</v>
      </c>
      <c r="H972" s="45" t="e">
        <f t="shared" si="4"/>
        <v>#N/A</v>
      </c>
      <c r="I972" s="46">
        <v>46041.561493055553</v>
      </c>
    </row>
    <row r="973" spans="1:10">
      <c r="A973" s="40" t="s">
        <v>750</v>
      </c>
      <c r="B973" s="40" t="s">
        <v>751</v>
      </c>
      <c r="C973" s="41">
        <v>46001</v>
      </c>
      <c r="D973" s="42" t="s">
        <v>410</v>
      </c>
      <c r="E973" s="42" t="s">
        <v>411</v>
      </c>
      <c r="F973" s="47">
        <v>508689.49</v>
      </c>
      <c r="G973" s="44">
        <v>46351</v>
      </c>
      <c r="H973" s="45" t="e">
        <f t="shared" si="4"/>
        <v>#N/A</v>
      </c>
      <c r="I973" s="46">
        <v>46008.607418981483</v>
      </c>
    </row>
    <row r="974" spans="1:10">
      <c r="A974" s="40" t="s">
        <v>750</v>
      </c>
      <c r="B974" s="40" t="s">
        <v>751</v>
      </c>
      <c r="C974" s="41">
        <v>45971</v>
      </c>
      <c r="D974" s="42" t="s">
        <v>410</v>
      </c>
      <c r="E974" s="42" t="s">
        <v>411</v>
      </c>
      <c r="F974" s="47">
        <v>485969.91999999998</v>
      </c>
      <c r="G974" s="44">
        <v>46320</v>
      </c>
      <c r="H974" s="45" t="e">
        <f t="shared" si="4"/>
        <v>#N/A</v>
      </c>
      <c r="I974" s="46">
        <v>45987.602222222224</v>
      </c>
      <c r="J974" s="40" t="s">
        <v>752</v>
      </c>
    </row>
    <row r="975" spans="1:10">
      <c r="A975" s="40" t="s">
        <v>750</v>
      </c>
      <c r="B975" s="40" t="s">
        <v>751</v>
      </c>
      <c r="C975" s="41">
        <v>45940</v>
      </c>
      <c r="D975" s="42" t="s">
        <v>410</v>
      </c>
      <c r="E975" s="42" t="s">
        <v>411</v>
      </c>
      <c r="F975" s="47">
        <v>517590.87</v>
      </c>
      <c r="G975" s="44">
        <v>46290</v>
      </c>
      <c r="H975" s="45" t="e">
        <f t="shared" si="4"/>
        <v>#N/A</v>
      </c>
      <c r="I975" s="46">
        <v>45985.56925925926</v>
      </c>
      <c r="J975" s="40" t="s">
        <v>753</v>
      </c>
    </row>
    <row r="976" spans="1:10">
      <c r="A976" s="40" t="s">
        <v>750</v>
      </c>
      <c r="B976" s="40" t="s">
        <v>751</v>
      </c>
      <c r="C976" s="41">
        <v>45910</v>
      </c>
      <c r="D976" s="42" t="s">
        <v>410</v>
      </c>
      <c r="E976" s="42" t="s">
        <v>411</v>
      </c>
      <c r="F976" s="47">
        <v>477269.28</v>
      </c>
      <c r="G976" s="44">
        <v>46259</v>
      </c>
      <c r="H976" s="45" t="e">
        <f t="shared" si="4"/>
        <v>#N/A</v>
      </c>
      <c r="I976" s="46">
        <v>45985.569085648145</v>
      </c>
      <c r="J976" s="40" t="s">
        <v>753</v>
      </c>
    </row>
    <row r="977" spans="1:10">
      <c r="A977" s="40" t="s">
        <v>750</v>
      </c>
      <c r="B977" s="40" t="s">
        <v>751</v>
      </c>
      <c r="C977" s="41">
        <v>45879</v>
      </c>
      <c r="D977" s="42" t="s">
        <v>410</v>
      </c>
      <c r="E977" s="42" t="s">
        <v>411</v>
      </c>
      <c r="F977" s="47">
        <v>576196.67000000004</v>
      </c>
      <c r="G977" s="44">
        <v>46228</v>
      </c>
      <c r="H977" s="45" t="e">
        <f t="shared" si="4"/>
        <v>#N/A</v>
      </c>
      <c r="I977" s="46">
        <v>45936.652372685188</v>
      </c>
    </row>
    <row r="978" spans="1:10">
      <c r="A978" s="40" t="s">
        <v>750</v>
      </c>
      <c r="B978" s="40" t="s">
        <v>751</v>
      </c>
      <c r="C978" s="41">
        <v>45848</v>
      </c>
      <c r="D978" s="42" t="s">
        <v>410</v>
      </c>
      <c r="E978" s="42" t="s">
        <v>411</v>
      </c>
      <c r="F978" s="47">
        <v>469166.29</v>
      </c>
      <c r="G978" s="44">
        <v>46198</v>
      </c>
      <c r="H978" s="45" t="e">
        <f t="shared" si="4"/>
        <v>#N/A</v>
      </c>
      <c r="I978" s="46">
        <v>45936.652372685188</v>
      </c>
    </row>
    <row r="979" spans="1:10">
      <c r="A979" s="40" t="s">
        <v>750</v>
      </c>
      <c r="B979" s="40" t="s">
        <v>751</v>
      </c>
      <c r="C979" s="41">
        <v>45818</v>
      </c>
      <c r="D979" s="42" t="s">
        <v>410</v>
      </c>
      <c r="E979" s="42" t="s">
        <v>411</v>
      </c>
      <c r="F979" s="47">
        <v>455851.66</v>
      </c>
      <c r="G979" s="44">
        <v>46167</v>
      </c>
      <c r="H979" s="45" t="e">
        <f t="shared" si="4"/>
        <v>#N/A</v>
      </c>
      <c r="I979" s="46">
        <v>45936.652372685188</v>
      </c>
    </row>
    <row r="980" spans="1:10">
      <c r="A980" s="40" t="s">
        <v>750</v>
      </c>
      <c r="B980" s="40" t="s">
        <v>751</v>
      </c>
      <c r="C980" s="41">
        <v>45787</v>
      </c>
      <c r="D980" s="42" t="s">
        <v>410</v>
      </c>
      <c r="E980" s="42" t="s">
        <v>411</v>
      </c>
      <c r="F980" s="47">
        <v>485125.92</v>
      </c>
      <c r="G980" s="44">
        <v>46137</v>
      </c>
      <c r="H980" s="45" t="e">
        <f t="shared" si="4"/>
        <v>#N/A</v>
      </c>
      <c r="I980" s="46">
        <v>45936.652372685188</v>
      </c>
    </row>
    <row r="981" spans="1:10">
      <c r="A981" s="40" t="s">
        <v>754</v>
      </c>
      <c r="B981" s="40" t="s">
        <v>755</v>
      </c>
      <c r="C981" s="41">
        <v>46122</v>
      </c>
      <c r="D981" s="42" t="s">
        <v>476</v>
      </c>
      <c r="E981" s="42" t="s">
        <v>411</v>
      </c>
      <c r="F981" s="47"/>
      <c r="G981" s="44">
        <v>46107</v>
      </c>
      <c r="H981" s="45" t="e">
        <f t="shared" si="4"/>
        <v>#N/A</v>
      </c>
      <c r="I981" s="46"/>
    </row>
    <row r="982" spans="1:10">
      <c r="A982" s="40" t="s">
        <v>754</v>
      </c>
      <c r="B982" s="40" t="s">
        <v>755</v>
      </c>
      <c r="C982" s="41">
        <v>46091</v>
      </c>
      <c r="D982" s="42" t="s">
        <v>476</v>
      </c>
      <c r="E982" s="42" t="s">
        <v>411</v>
      </c>
      <c r="F982" s="47"/>
      <c r="G982" s="44">
        <v>46079</v>
      </c>
      <c r="H982" s="45" t="e">
        <f t="shared" si="4"/>
        <v>#N/A</v>
      </c>
      <c r="I982" s="46"/>
    </row>
    <row r="983" spans="1:10">
      <c r="A983" s="40" t="s">
        <v>754</v>
      </c>
      <c r="B983" s="40" t="s">
        <v>755</v>
      </c>
      <c r="C983" s="41">
        <v>46063</v>
      </c>
      <c r="D983" s="42" t="s">
        <v>476</v>
      </c>
      <c r="E983" s="42" t="s">
        <v>411</v>
      </c>
      <c r="F983" s="47">
        <v>9.52</v>
      </c>
      <c r="G983" s="44">
        <v>46048</v>
      </c>
      <c r="H983" s="45" t="e">
        <f t="shared" si="4"/>
        <v>#N/A</v>
      </c>
      <c r="I983" s="46">
        <v>46064.684236111112</v>
      </c>
      <c r="J983" s="40" t="s">
        <v>756</v>
      </c>
    </row>
    <row r="984" spans="1:10">
      <c r="A984" s="40" t="s">
        <v>754</v>
      </c>
      <c r="B984" s="40" t="s">
        <v>755</v>
      </c>
      <c r="C984" s="41">
        <v>46032</v>
      </c>
      <c r="D984" s="42" t="s">
        <v>476</v>
      </c>
      <c r="E984" s="42" t="s">
        <v>411</v>
      </c>
      <c r="F984" s="47">
        <v>0</v>
      </c>
      <c r="G984" s="44">
        <v>46381</v>
      </c>
      <c r="H984" s="45" t="e">
        <f t="shared" si="4"/>
        <v>#N/A</v>
      </c>
      <c r="I984" s="46">
        <v>46031.754861111112</v>
      </c>
      <c r="J984" s="40" t="s">
        <v>757</v>
      </c>
    </row>
    <row r="985" spans="1:10">
      <c r="A985" s="40" t="s">
        <v>754</v>
      </c>
      <c r="B985" s="40" t="s">
        <v>755</v>
      </c>
      <c r="C985" s="41">
        <v>46001</v>
      </c>
      <c r="D985" s="42" t="s">
        <v>476</v>
      </c>
      <c r="E985" s="42" t="s">
        <v>411</v>
      </c>
      <c r="F985" s="47">
        <v>4.3499999999999996</v>
      </c>
      <c r="G985" s="44">
        <v>46351</v>
      </c>
      <c r="H985" s="45" t="e">
        <f t="shared" si="4"/>
        <v>#N/A</v>
      </c>
      <c r="I985" s="46">
        <v>46006.753622685188</v>
      </c>
      <c r="J985" s="40" t="s">
        <v>758</v>
      </c>
    </row>
    <row r="986" spans="1:10">
      <c r="A986" s="40" t="s">
        <v>754</v>
      </c>
      <c r="B986" s="40" t="s">
        <v>755</v>
      </c>
      <c r="C986" s="41">
        <v>45971</v>
      </c>
      <c r="D986" s="42" t="s">
        <v>476</v>
      </c>
      <c r="E986" s="42" t="s">
        <v>411</v>
      </c>
      <c r="F986" s="47">
        <v>9.52</v>
      </c>
      <c r="G986" s="44">
        <v>46320</v>
      </c>
      <c r="H986" s="45" t="e">
        <f t="shared" si="4"/>
        <v>#N/A</v>
      </c>
      <c r="I986" s="46">
        <v>45974.776539351849</v>
      </c>
      <c r="J986" s="40" t="s">
        <v>759</v>
      </c>
    </row>
    <row r="987" spans="1:10">
      <c r="A987" s="40" t="s">
        <v>754</v>
      </c>
      <c r="B987" s="40" t="s">
        <v>755</v>
      </c>
      <c r="C987" s="41">
        <v>45940</v>
      </c>
      <c r="D987" s="42" t="s">
        <v>476</v>
      </c>
      <c r="E987" s="42" t="s">
        <v>411</v>
      </c>
      <c r="F987" s="47">
        <v>0</v>
      </c>
      <c r="G987" s="44">
        <v>46290</v>
      </c>
      <c r="H987" s="45" t="e">
        <f t="shared" si="4"/>
        <v>#N/A</v>
      </c>
      <c r="I987" s="46">
        <v>45974.775694444441</v>
      </c>
    </row>
    <row r="988" spans="1:10">
      <c r="A988" s="40" t="s">
        <v>754</v>
      </c>
      <c r="B988" s="40" t="s">
        <v>755</v>
      </c>
      <c r="C988" s="41">
        <v>45910</v>
      </c>
      <c r="D988" s="42" t="s">
        <v>476</v>
      </c>
      <c r="E988" s="42" t="s">
        <v>411</v>
      </c>
      <c r="F988" s="47">
        <v>0</v>
      </c>
      <c r="G988" s="44">
        <v>46259</v>
      </c>
      <c r="H988" s="45" t="e">
        <f t="shared" si="4"/>
        <v>#N/A</v>
      </c>
      <c r="I988" s="46">
        <v>45974.775625000002</v>
      </c>
    </row>
    <row r="989" spans="1:10">
      <c r="A989" s="40" t="s">
        <v>754</v>
      </c>
      <c r="B989" s="40" t="s">
        <v>755</v>
      </c>
      <c r="C989" s="41">
        <v>45879</v>
      </c>
      <c r="D989" s="42" t="s">
        <v>476</v>
      </c>
      <c r="E989" s="42" t="s">
        <v>411</v>
      </c>
      <c r="F989" s="47">
        <v>5</v>
      </c>
      <c r="G989" s="44">
        <v>46228</v>
      </c>
      <c r="H989" s="45" t="e">
        <f t="shared" si="4"/>
        <v>#N/A</v>
      </c>
      <c r="I989" s="46">
        <v>45938.716574074075</v>
      </c>
    </row>
    <row r="990" spans="1:10">
      <c r="A990" s="40" t="s">
        <v>754</v>
      </c>
      <c r="B990" s="40" t="s">
        <v>755</v>
      </c>
      <c r="C990" s="41">
        <v>45848</v>
      </c>
      <c r="D990" s="42" t="s">
        <v>476</v>
      </c>
      <c r="E990" s="42" t="s">
        <v>411</v>
      </c>
      <c r="F990" s="47">
        <v>5.56</v>
      </c>
      <c r="G990" s="44">
        <v>46198</v>
      </c>
      <c r="H990" s="45" t="e">
        <f t="shared" si="4"/>
        <v>#N/A</v>
      </c>
      <c r="I990" s="46">
        <v>45938.716574074075</v>
      </c>
    </row>
    <row r="991" spans="1:10">
      <c r="A991" s="40" t="s">
        <v>754</v>
      </c>
      <c r="B991" s="40" t="s">
        <v>755</v>
      </c>
      <c r="C991" s="41">
        <v>45818</v>
      </c>
      <c r="D991" s="42" t="s">
        <v>476</v>
      </c>
      <c r="E991" s="42" t="s">
        <v>411</v>
      </c>
      <c r="F991" s="47">
        <v>15</v>
      </c>
      <c r="G991" s="44">
        <v>46167</v>
      </c>
      <c r="H991" s="45" t="e">
        <f t="shared" si="4"/>
        <v>#N/A</v>
      </c>
      <c r="I991" s="46">
        <v>45938.716574074075</v>
      </c>
    </row>
    <row r="992" spans="1:10">
      <c r="A992" s="40" t="s">
        <v>754</v>
      </c>
      <c r="B992" s="40" t="s">
        <v>755</v>
      </c>
      <c r="C992" s="41">
        <v>45787</v>
      </c>
      <c r="D992" s="42" t="s">
        <v>476</v>
      </c>
      <c r="E992" s="42" t="s">
        <v>411</v>
      </c>
      <c r="F992" s="47">
        <v>10</v>
      </c>
      <c r="G992" s="44">
        <v>46137</v>
      </c>
      <c r="H992" s="45" t="e">
        <f t="shared" si="4"/>
        <v>#N/A</v>
      </c>
      <c r="I992" s="46">
        <v>45938.716574074075</v>
      </c>
    </row>
    <row r="993" spans="1:9">
      <c r="A993" s="40" t="s">
        <v>760</v>
      </c>
      <c r="B993" s="40" t="s">
        <v>761</v>
      </c>
      <c r="C993" s="41">
        <v>46122</v>
      </c>
      <c r="D993" s="42" t="s">
        <v>410</v>
      </c>
      <c r="E993" s="42" t="s">
        <v>411</v>
      </c>
      <c r="F993" s="47"/>
      <c r="G993" s="44">
        <v>46107</v>
      </c>
      <c r="H993" s="45" t="e">
        <f t="shared" si="4"/>
        <v>#N/A</v>
      </c>
      <c r="I993" s="46"/>
    </row>
    <row r="994" spans="1:9">
      <c r="A994" s="40" t="s">
        <v>760</v>
      </c>
      <c r="B994" s="40" t="s">
        <v>761</v>
      </c>
      <c r="C994" s="41">
        <v>46091</v>
      </c>
      <c r="D994" s="42" t="s">
        <v>410</v>
      </c>
      <c r="E994" s="42" t="s">
        <v>411</v>
      </c>
      <c r="F994" s="47"/>
      <c r="G994" s="44">
        <v>46079</v>
      </c>
      <c r="H994" s="45" t="e">
        <f t="shared" si="4"/>
        <v>#N/A</v>
      </c>
      <c r="I994" s="46"/>
    </row>
    <row r="995" spans="1:9">
      <c r="A995" s="40" t="s">
        <v>760</v>
      </c>
      <c r="B995" s="40" t="s">
        <v>761</v>
      </c>
      <c r="C995" s="41">
        <v>46063</v>
      </c>
      <c r="D995" s="42" t="s">
        <v>410</v>
      </c>
      <c r="E995" s="42" t="s">
        <v>411</v>
      </c>
      <c r="F995" s="47">
        <v>4214366.05</v>
      </c>
      <c r="G995" s="44">
        <v>46048</v>
      </c>
      <c r="H995" s="45" t="e">
        <f t="shared" si="4"/>
        <v>#N/A</v>
      </c>
      <c r="I995" s="46">
        <v>46070.61891203704</v>
      </c>
    </row>
    <row r="996" spans="1:9">
      <c r="A996" s="40" t="s">
        <v>760</v>
      </c>
      <c r="B996" s="40" t="s">
        <v>761</v>
      </c>
      <c r="C996" s="41">
        <v>46032</v>
      </c>
      <c r="D996" s="42" t="s">
        <v>410</v>
      </c>
      <c r="E996" s="42" t="s">
        <v>411</v>
      </c>
      <c r="F996" s="47">
        <v>4312169.46</v>
      </c>
      <c r="G996" s="44">
        <v>46381</v>
      </c>
      <c r="H996" s="45" t="e">
        <f t="shared" si="4"/>
        <v>#N/A</v>
      </c>
      <c r="I996" s="46">
        <v>46041.548819444448</v>
      </c>
    </row>
    <row r="997" spans="1:9">
      <c r="A997" s="40" t="s">
        <v>760</v>
      </c>
      <c r="B997" s="40" t="s">
        <v>761</v>
      </c>
      <c r="C997" s="41">
        <v>46001</v>
      </c>
      <c r="D997" s="42" t="s">
        <v>410</v>
      </c>
      <c r="E997" s="42" t="s">
        <v>411</v>
      </c>
      <c r="F997" s="47">
        <v>3377328.23</v>
      </c>
      <c r="G997" s="44">
        <v>46351</v>
      </c>
      <c r="H997" s="45" t="e">
        <f t="shared" si="4"/>
        <v>#N/A</v>
      </c>
      <c r="I997" s="46">
        <v>46007.484560185185</v>
      </c>
    </row>
    <row r="998" spans="1:9">
      <c r="A998" s="40" t="s">
        <v>760</v>
      </c>
      <c r="B998" s="40" t="s">
        <v>761</v>
      </c>
      <c r="C998" s="41">
        <v>45971</v>
      </c>
      <c r="D998" s="42" t="s">
        <v>410</v>
      </c>
      <c r="E998" s="42" t="s">
        <v>411</v>
      </c>
      <c r="F998" s="47">
        <v>3441980.05</v>
      </c>
      <c r="G998" s="44">
        <v>46320</v>
      </c>
      <c r="H998" s="45" t="e">
        <f t="shared" si="4"/>
        <v>#N/A</v>
      </c>
      <c r="I998" s="46">
        <v>45972.663761574076</v>
      </c>
    </row>
    <row r="999" spans="1:9">
      <c r="A999" s="40" t="s">
        <v>760</v>
      </c>
      <c r="B999" s="40" t="s">
        <v>761</v>
      </c>
      <c r="C999" s="41">
        <v>45940</v>
      </c>
      <c r="D999" s="42" t="s">
        <v>410</v>
      </c>
      <c r="E999" s="42" t="s">
        <v>411</v>
      </c>
      <c r="F999" s="47">
        <v>3501498.36</v>
      </c>
      <c r="G999" s="44">
        <v>46290</v>
      </c>
      <c r="H999" s="45" t="e">
        <f t="shared" si="4"/>
        <v>#N/A</v>
      </c>
      <c r="I999" s="46">
        <v>45947.192233796297</v>
      </c>
    </row>
    <row r="1000" spans="1:9">
      <c r="A1000" s="40" t="s">
        <v>760</v>
      </c>
      <c r="B1000" s="40" t="s">
        <v>761</v>
      </c>
      <c r="C1000" s="41">
        <v>45910</v>
      </c>
      <c r="D1000" s="42" t="s">
        <v>410</v>
      </c>
      <c r="E1000" s="42" t="s">
        <v>411</v>
      </c>
      <c r="F1000" s="47">
        <v>3350039.22</v>
      </c>
      <c r="G1000" s="44">
        <v>46259</v>
      </c>
      <c r="H1000" s="45" t="e">
        <f t="shared" si="4"/>
        <v>#N/A</v>
      </c>
      <c r="I1000" s="46">
        <v>45936.646516203706</v>
      </c>
    </row>
    <row r="1001" spans="1:9">
      <c r="A1001" s="40" t="s">
        <v>760</v>
      </c>
      <c r="B1001" s="40" t="s">
        <v>761</v>
      </c>
      <c r="C1001" s="41">
        <v>45879</v>
      </c>
      <c r="D1001" s="42" t="s">
        <v>410</v>
      </c>
      <c r="E1001" s="42" t="s">
        <v>411</v>
      </c>
      <c r="F1001" s="47">
        <v>3708857.41</v>
      </c>
      <c r="G1001" s="44">
        <v>46228</v>
      </c>
      <c r="H1001" s="45" t="e">
        <f t="shared" si="4"/>
        <v>#N/A</v>
      </c>
      <c r="I1001" s="46">
        <v>45936.646516203706</v>
      </c>
    </row>
    <row r="1002" spans="1:9">
      <c r="A1002" s="40" t="s">
        <v>760</v>
      </c>
      <c r="B1002" s="40" t="s">
        <v>761</v>
      </c>
      <c r="C1002" s="41">
        <v>45848</v>
      </c>
      <c r="D1002" s="42" t="s">
        <v>410</v>
      </c>
      <c r="E1002" s="42" t="s">
        <v>411</v>
      </c>
      <c r="F1002" s="47">
        <v>3479239.43</v>
      </c>
      <c r="G1002" s="44">
        <v>46198</v>
      </c>
      <c r="H1002" s="45" t="e">
        <f t="shared" si="4"/>
        <v>#N/A</v>
      </c>
      <c r="I1002" s="46">
        <v>45936.646516203706</v>
      </c>
    </row>
    <row r="1003" spans="1:9">
      <c r="A1003" s="40" t="s">
        <v>760</v>
      </c>
      <c r="B1003" s="40" t="s">
        <v>761</v>
      </c>
      <c r="C1003" s="41">
        <v>45818</v>
      </c>
      <c r="D1003" s="42" t="s">
        <v>410</v>
      </c>
      <c r="E1003" s="42" t="s">
        <v>411</v>
      </c>
      <c r="F1003" s="47">
        <v>3754067.12</v>
      </c>
      <c r="G1003" s="44">
        <v>46167</v>
      </c>
      <c r="H1003" s="45" t="e">
        <f t="shared" si="4"/>
        <v>#N/A</v>
      </c>
      <c r="I1003" s="46">
        <v>45936.646516203706</v>
      </c>
    </row>
    <row r="1004" spans="1:9">
      <c r="A1004" s="40" t="s">
        <v>760</v>
      </c>
      <c r="B1004" s="40" t="s">
        <v>761</v>
      </c>
      <c r="C1004" s="41">
        <v>45787</v>
      </c>
      <c r="D1004" s="42" t="s">
        <v>410</v>
      </c>
      <c r="E1004" s="42" t="s">
        <v>411</v>
      </c>
      <c r="F1004" s="47">
        <v>3428805.94</v>
      </c>
      <c r="G1004" s="44">
        <v>46137</v>
      </c>
      <c r="H1004" s="45" t="e">
        <f t="shared" si="4"/>
        <v>#N/A</v>
      </c>
      <c r="I1004" s="46">
        <v>45936.646516203706</v>
      </c>
    </row>
    <row r="1005" spans="1:9">
      <c r="A1005" s="40" t="s">
        <v>760</v>
      </c>
      <c r="B1005" s="40" t="s">
        <v>761</v>
      </c>
      <c r="C1005" s="41">
        <v>45757</v>
      </c>
      <c r="D1005" s="42" t="s">
        <v>410</v>
      </c>
      <c r="E1005" s="42" t="s">
        <v>411</v>
      </c>
      <c r="F1005" s="47">
        <v>3735958.83</v>
      </c>
      <c r="G1005" s="44">
        <v>46106</v>
      </c>
      <c r="H1005" s="45" t="e">
        <f t="shared" si="4"/>
        <v>#N/A</v>
      </c>
      <c r="I1005" s="46">
        <v>45936.646504629629</v>
      </c>
    </row>
    <row r="1006" spans="1:9">
      <c r="A1006" s="40" t="s">
        <v>760</v>
      </c>
      <c r="B1006" s="40" t="s">
        <v>761</v>
      </c>
      <c r="C1006" s="41">
        <v>45726</v>
      </c>
      <c r="D1006" s="42" t="s">
        <v>410</v>
      </c>
      <c r="E1006" s="42" t="s">
        <v>411</v>
      </c>
      <c r="F1006" s="47">
        <v>3531596.85</v>
      </c>
      <c r="G1006" s="44">
        <v>46078</v>
      </c>
      <c r="H1006" s="45" t="e">
        <f t="shared" si="4"/>
        <v>#N/A</v>
      </c>
      <c r="I1006" s="46">
        <v>45936.646504629629</v>
      </c>
    </row>
    <row r="1007" spans="1:9">
      <c r="A1007" s="40" t="s">
        <v>760</v>
      </c>
      <c r="B1007" s="40" t="s">
        <v>761</v>
      </c>
      <c r="C1007" s="41">
        <v>45698</v>
      </c>
      <c r="D1007" s="42" t="s">
        <v>410</v>
      </c>
      <c r="E1007" s="42" t="s">
        <v>411</v>
      </c>
      <c r="F1007" s="47">
        <v>4321984.6500000004</v>
      </c>
      <c r="G1007" s="44">
        <v>46047</v>
      </c>
      <c r="H1007" s="45" t="e">
        <f t="shared" si="4"/>
        <v>#N/A</v>
      </c>
      <c r="I1007" s="46">
        <v>45936.646504629629</v>
      </c>
    </row>
    <row r="1008" spans="1:9">
      <c r="A1008" s="40" t="s">
        <v>762</v>
      </c>
      <c r="B1008" s="40" t="s">
        <v>763</v>
      </c>
      <c r="C1008" s="41">
        <v>46117</v>
      </c>
      <c r="D1008" s="42" t="s">
        <v>476</v>
      </c>
      <c r="E1008" s="42" t="s">
        <v>411</v>
      </c>
      <c r="F1008" s="43"/>
      <c r="G1008" s="44">
        <v>46107</v>
      </c>
      <c r="H1008" s="45" t="e">
        <f t="shared" si="4"/>
        <v>#N/A</v>
      </c>
      <c r="I1008" s="46"/>
    </row>
    <row r="1009" spans="1:10">
      <c r="A1009" s="40" t="s">
        <v>762</v>
      </c>
      <c r="B1009" s="40" t="s">
        <v>763</v>
      </c>
      <c r="C1009" s="41">
        <v>46086</v>
      </c>
      <c r="D1009" s="42" t="s">
        <v>476</v>
      </c>
      <c r="E1009" s="42" t="s">
        <v>411</v>
      </c>
      <c r="F1009" s="43"/>
      <c r="G1009" s="44">
        <v>46079</v>
      </c>
      <c r="H1009" s="45" t="e">
        <f t="shared" si="4"/>
        <v>#N/A</v>
      </c>
      <c r="I1009" s="43"/>
    </row>
    <row r="1010" spans="1:10">
      <c r="A1010" s="40" t="s">
        <v>762</v>
      </c>
      <c r="B1010" s="40" t="s">
        <v>763</v>
      </c>
      <c r="C1010" s="41">
        <v>46058</v>
      </c>
      <c r="D1010" s="42" t="s">
        <v>476</v>
      </c>
      <c r="E1010" s="42" t="s">
        <v>411</v>
      </c>
      <c r="F1010" s="47">
        <v>100</v>
      </c>
      <c r="G1010" s="44">
        <v>46048</v>
      </c>
      <c r="H1010" s="45" t="e">
        <f t="shared" si="4"/>
        <v>#N/A</v>
      </c>
      <c r="I1010" s="46">
        <v>46057.369930555556</v>
      </c>
    </row>
    <row r="1011" spans="1:10">
      <c r="A1011" s="40" t="s">
        <v>762</v>
      </c>
      <c r="B1011" s="40" t="s">
        <v>763</v>
      </c>
      <c r="C1011" s="41">
        <v>46027</v>
      </c>
      <c r="D1011" s="42" t="s">
        <v>476</v>
      </c>
      <c r="E1011" s="42" t="s">
        <v>411</v>
      </c>
      <c r="F1011" s="47">
        <v>100</v>
      </c>
      <c r="G1011" s="44">
        <v>46381</v>
      </c>
      <c r="H1011" s="45" t="e">
        <f t="shared" si="4"/>
        <v>#N/A</v>
      </c>
      <c r="I1011" s="46">
        <v>46053.402442129627</v>
      </c>
    </row>
    <row r="1012" spans="1:10">
      <c r="A1012" s="40" t="s">
        <v>762</v>
      </c>
      <c r="B1012" s="40" t="s">
        <v>763</v>
      </c>
      <c r="C1012" s="41">
        <v>45996</v>
      </c>
      <c r="D1012" s="42" t="s">
        <v>476</v>
      </c>
      <c r="E1012" s="42" t="s">
        <v>411</v>
      </c>
      <c r="F1012" s="47">
        <v>93.33</v>
      </c>
      <c r="G1012" s="44">
        <v>46351</v>
      </c>
      <c r="H1012" s="45" t="e">
        <f t="shared" si="4"/>
        <v>#N/A</v>
      </c>
      <c r="I1012" s="46">
        <v>46053.402349537035</v>
      </c>
    </row>
    <row r="1013" spans="1:10">
      <c r="A1013" s="40" t="s">
        <v>762</v>
      </c>
      <c r="B1013" s="40" t="s">
        <v>763</v>
      </c>
      <c r="C1013" s="41">
        <v>45966</v>
      </c>
      <c r="D1013" s="42" t="s">
        <v>476</v>
      </c>
      <c r="E1013" s="42" t="s">
        <v>411</v>
      </c>
      <c r="F1013" s="47">
        <v>100</v>
      </c>
      <c r="G1013" s="44">
        <v>46320</v>
      </c>
      <c r="H1013" s="45" t="e">
        <f t="shared" si="4"/>
        <v>#N/A</v>
      </c>
      <c r="I1013" s="46">
        <v>46053.402256944442</v>
      </c>
    </row>
    <row r="1014" spans="1:10">
      <c r="A1014" s="40" t="s">
        <v>762</v>
      </c>
      <c r="B1014" s="40" t="s">
        <v>763</v>
      </c>
      <c r="C1014" s="41">
        <v>45935</v>
      </c>
      <c r="D1014" s="42" t="s">
        <v>476</v>
      </c>
      <c r="E1014" s="42" t="s">
        <v>411</v>
      </c>
      <c r="F1014" s="47">
        <v>85.92</v>
      </c>
      <c r="G1014" s="44">
        <v>46290</v>
      </c>
      <c r="H1014" s="45" t="e">
        <f t="shared" si="4"/>
        <v>#N/A</v>
      </c>
      <c r="I1014" s="46">
        <v>46053.402141203704</v>
      </c>
    </row>
    <row r="1015" spans="1:10">
      <c r="A1015" s="40" t="s">
        <v>762</v>
      </c>
      <c r="B1015" s="40" t="s">
        <v>763</v>
      </c>
      <c r="C1015" s="41">
        <v>45905</v>
      </c>
      <c r="D1015" s="42" t="s">
        <v>476</v>
      </c>
      <c r="E1015" s="42" t="s">
        <v>411</v>
      </c>
      <c r="F1015" s="47">
        <v>87.45</v>
      </c>
      <c r="G1015" s="44">
        <v>46259</v>
      </c>
      <c r="H1015" s="45" t="e">
        <f t="shared" si="4"/>
        <v>#N/A</v>
      </c>
      <c r="I1015" s="46">
        <v>46053.401875000003</v>
      </c>
    </row>
    <row r="1016" spans="1:10">
      <c r="A1016" s="40" t="s">
        <v>762</v>
      </c>
      <c r="B1016" s="40" t="s">
        <v>763</v>
      </c>
      <c r="C1016" s="41">
        <v>45874</v>
      </c>
      <c r="D1016" s="42" t="s">
        <v>476</v>
      </c>
      <c r="E1016" s="42" t="s">
        <v>411</v>
      </c>
      <c r="F1016" s="47">
        <v>92.98</v>
      </c>
      <c r="G1016" s="44">
        <v>46228</v>
      </c>
      <c r="H1016" s="45" t="e">
        <f t="shared" si="4"/>
        <v>#N/A</v>
      </c>
      <c r="I1016" s="46">
        <v>46053.401747685188</v>
      </c>
    </row>
    <row r="1017" spans="1:10">
      <c r="A1017" s="40" t="s">
        <v>764</v>
      </c>
      <c r="B1017" s="40" t="s">
        <v>765</v>
      </c>
      <c r="C1017" s="41">
        <v>46122</v>
      </c>
      <c r="D1017" s="42" t="s">
        <v>476</v>
      </c>
      <c r="E1017" s="42" t="s">
        <v>411</v>
      </c>
      <c r="F1017" s="47"/>
      <c r="G1017" s="44">
        <v>46107</v>
      </c>
      <c r="H1017" s="45" t="e">
        <f t="shared" si="4"/>
        <v>#N/A</v>
      </c>
      <c r="I1017" s="46"/>
    </row>
    <row r="1018" spans="1:10">
      <c r="A1018" s="40" t="s">
        <v>764</v>
      </c>
      <c r="B1018" s="40" t="s">
        <v>765</v>
      </c>
      <c r="C1018" s="41">
        <v>46091</v>
      </c>
      <c r="D1018" s="42" t="s">
        <v>476</v>
      </c>
      <c r="E1018" s="42" t="s">
        <v>411</v>
      </c>
      <c r="F1018" s="47"/>
      <c r="G1018" s="44">
        <v>46079</v>
      </c>
      <c r="H1018" s="45" t="e">
        <f t="shared" si="4"/>
        <v>#N/A</v>
      </c>
      <c r="I1018" s="46"/>
    </row>
    <row r="1019" spans="1:10">
      <c r="A1019" s="40" t="s">
        <v>764</v>
      </c>
      <c r="B1019" s="40" t="s">
        <v>765</v>
      </c>
      <c r="C1019" s="41">
        <v>46063</v>
      </c>
      <c r="D1019" s="42" t="s">
        <v>476</v>
      </c>
      <c r="E1019" s="42" t="s">
        <v>411</v>
      </c>
      <c r="F1019" s="47">
        <v>3</v>
      </c>
      <c r="G1019" s="44">
        <v>46048</v>
      </c>
      <c r="H1019" s="45" t="e">
        <f t="shared" si="4"/>
        <v>#N/A</v>
      </c>
      <c r="I1019" s="46">
        <v>46064.748611111114</v>
      </c>
      <c r="J1019" s="40" t="s">
        <v>766</v>
      </c>
    </row>
    <row r="1020" spans="1:10">
      <c r="A1020" s="40" t="s">
        <v>764</v>
      </c>
      <c r="B1020" s="40" t="s">
        <v>765</v>
      </c>
      <c r="C1020" s="41">
        <v>46032</v>
      </c>
      <c r="D1020" s="42" t="s">
        <v>476</v>
      </c>
      <c r="E1020" s="42" t="s">
        <v>411</v>
      </c>
      <c r="F1020" s="47">
        <v>-13</v>
      </c>
      <c r="G1020" s="44">
        <v>46381</v>
      </c>
      <c r="H1020" s="45" t="e">
        <f t="shared" si="4"/>
        <v>#N/A</v>
      </c>
      <c r="I1020" s="46">
        <v>46042.667812500003</v>
      </c>
      <c r="J1020" s="40" t="s">
        <v>767</v>
      </c>
    </row>
    <row r="1021" spans="1:10">
      <c r="A1021" s="40" t="s">
        <v>764</v>
      </c>
      <c r="B1021" s="40" t="s">
        <v>765</v>
      </c>
      <c r="C1021" s="41">
        <v>46001</v>
      </c>
      <c r="D1021" s="42" t="s">
        <v>476</v>
      </c>
      <c r="E1021" s="42" t="s">
        <v>411</v>
      </c>
      <c r="F1021" s="47">
        <v>674</v>
      </c>
      <c r="G1021" s="44">
        <v>46351</v>
      </c>
      <c r="H1021" s="45" t="e">
        <f t="shared" si="4"/>
        <v>#N/A</v>
      </c>
      <c r="I1021" s="46">
        <v>46013.376099537039</v>
      </c>
      <c r="J1021" s="40" t="s">
        <v>768</v>
      </c>
    </row>
    <row r="1022" spans="1:10">
      <c r="A1022" s="40" t="s">
        <v>764</v>
      </c>
      <c r="B1022" s="40" t="s">
        <v>765</v>
      </c>
      <c r="C1022" s="41">
        <v>45971</v>
      </c>
      <c r="D1022" s="42" t="s">
        <v>476</v>
      </c>
      <c r="E1022" s="42" t="s">
        <v>411</v>
      </c>
      <c r="F1022" s="47">
        <v>684</v>
      </c>
      <c r="G1022" s="44">
        <v>46320</v>
      </c>
      <c r="H1022" s="45" t="e">
        <f t="shared" si="4"/>
        <v>#N/A</v>
      </c>
      <c r="I1022" s="46">
        <v>46013.375844907408</v>
      </c>
      <c r="J1022" s="40" t="s">
        <v>769</v>
      </c>
    </row>
    <row r="1023" spans="1:10">
      <c r="A1023" s="40" t="s">
        <v>764</v>
      </c>
      <c r="B1023" s="40" t="s">
        <v>765</v>
      </c>
      <c r="C1023" s="41">
        <v>45940</v>
      </c>
      <c r="D1023" s="42" t="s">
        <v>476</v>
      </c>
      <c r="E1023" s="42" t="s">
        <v>411</v>
      </c>
      <c r="F1023" s="47">
        <v>883</v>
      </c>
      <c r="G1023" s="44">
        <v>46290</v>
      </c>
      <c r="H1023" s="45" t="e">
        <f t="shared" si="4"/>
        <v>#N/A</v>
      </c>
      <c r="I1023" s="46">
        <v>46013.375648148147</v>
      </c>
      <c r="J1023" s="40" t="s">
        <v>770</v>
      </c>
    </row>
    <row r="1024" spans="1:10">
      <c r="A1024" s="40" t="s">
        <v>764</v>
      </c>
      <c r="B1024" s="40" t="s">
        <v>765</v>
      </c>
      <c r="C1024" s="41">
        <v>45910</v>
      </c>
      <c r="D1024" s="42" t="s">
        <v>476</v>
      </c>
      <c r="E1024" s="42" t="s">
        <v>411</v>
      </c>
      <c r="F1024" s="47">
        <v>983</v>
      </c>
      <c r="G1024" s="44">
        <v>46259</v>
      </c>
      <c r="H1024" s="45" t="e">
        <f t="shared" si="4"/>
        <v>#N/A</v>
      </c>
      <c r="I1024" s="46">
        <v>46013.374444444446</v>
      </c>
      <c r="J1024" s="40" t="s">
        <v>771</v>
      </c>
    </row>
    <row r="1025" spans="1:10">
      <c r="A1025" s="40" t="s">
        <v>764</v>
      </c>
      <c r="B1025" s="40" t="s">
        <v>765</v>
      </c>
      <c r="C1025" s="41">
        <v>45879</v>
      </c>
      <c r="D1025" s="42" t="s">
        <v>476</v>
      </c>
      <c r="E1025" s="42" t="s">
        <v>411</v>
      </c>
      <c r="F1025" s="47">
        <v>1078</v>
      </c>
      <c r="G1025" s="44">
        <v>46228</v>
      </c>
      <c r="H1025" s="45" t="e">
        <f t="shared" si="4"/>
        <v>#N/A</v>
      </c>
      <c r="I1025" s="46">
        <v>46013.373969907407</v>
      </c>
      <c r="J1025" s="40" t="s">
        <v>772</v>
      </c>
    </row>
    <row r="1026" spans="1:10">
      <c r="A1026" s="40" t="s">
        <v>764</v>
      </c>
      <c r="B1026" s="40" t="s">
        <v>765</v>
      </c>
      <c r="C1026" s="41">
        <v>45848</v>
      </c>
      <c r="D1026" s="42" t="s">
        <v>476</v>
      </c>
      <c r="E1026" s="42" t="s">
        <v>411</v>
      </c>
      <c r="F1026" s="47">
        <v>0</v>
      </c>
      <c r="G1026" s="44">
        <v>46198</v>
      </c>
      <c r="H1026" s="45" t="e">
        <f t="shared" si="4"/>
        <v>#N/A</v>
      </c>
      <c r="I1026" s="46">
        <v>46064.74726851852</v>
      </c>
    </row>
    <row r="1027" spans="1:10">
      <c r="A1027" s="40" t="s">
        <v>764</v>
      </c>
      <c r="B1027" s="40" t="s">
        <v>765</v>
      </c>
      <c r="C1027" s="41">
        <v>45818</v>
      </c>
      <c r="D1027" s="42" t="s">
        <v>476</v>
      </c>
      <c r="E1027" s="42" t="s">
        <v>411</v>
      </c>
      <c r="F1027" s="47">
        <v>0</v>
      </c>
      <c r="G1027" s="44">
        <v>46167</v>
      </c>
      <c r="H1027" s="45" t="e">
        <f t="shared" si="4"/>
        <v>#N/A</v>
      </c>
      <c r="I1027" s="46">
        <v>46064.747349537036</v>
      </c>
    </row>
    <row r="1028" spans="1:10">
      <c r="A1028" s="40" t="s">
        <v>764</v>
      </c>
      <c r="B1028" s="40" t="s">
        <v>765</v>
      </c>
      <c r="C1028" s="41">
        <v>45787</v>
      </c>
      <c r="D1028" s="42" t="s">
        <v>476</v>
      </c>
      <c r="E1028" s="42" t="s">
        <v>411</v>
      </c>
      <c r="F1028" s="47">
        <v>0</v>
      </c>
      <c r="G1028" s="44">
        <v>46137</v>
      </c>
      <c r="H1028" s="45" t="e">
        <f t="shared" si="4"/>
        <v>#N/A</v>
      </c>
      <c r="I1028" s="46">
        <v>46064.749155092592</v>
      </c>
    </row>
    <row r="1029" spans="1:10">
      <c r="A1029" s="40" t="s">
        <v>764</v>
      </c>
      <c r="B1029" s="40" t="s">
        <v>765</v>
      </c>
      <c r="C1029" s="41">
        <v>45757</v>
      </c>
      <c r="D1029" s="42" t="s">
        <v>476</v>
      </c>
      <c r="E1029" s="42" t="s">
        <v>411</v>
      </c>
      <c r="F1029" s="47">
        <v>0</v>
      </c>
      <c r="G1029" s="44">
        <v>46106</v>
      </c>
      <c r="H1029" s="45" t="e">
        <f t="shared" si="4"/>
        <v>#N/A</v>
      </c>
      <c r="I1029" s="46">
        <v>46064.749212962961</v>
      </c>
    </row>
    <row r="1030" spans="1:10">
      <c r="A1030" s="40" t="s">
        <v>764</v>
      </c>
      <c r="B1030" s="40" t="s">
        <v>765</v>
      </c>
      <c r="C1030" s="41">
        <v>45726</v>
      </c>
      <c r="D1030" s="42" t="s">
        <v>476</v>
      </c>
      <c r="E1030" s="42" t="s">
        <v>411</v>
      </c>
      <c r="F1030" s="47">
        <v>0</v>
      </c>
      <c r="G1030" s="44">
        <v>46078</v>
      </c>
      <c r="H1030" s="45" t="e">
        <f t="shared" si="4"/>
        <v>#N/A</v>
      </c>
      <c r="I1030" s="46">
        <v>46064.749259259261</v>
      </c>
    </row>
    <row r="1031" spans="1:10">
      <c r="A1031" s="40" t="s">
        <v>764</v>
      </c>
      <c r="B1031" s="40" t="s">
        <v>765</v>
      </c>
      <c r="C1031" s="41">
        <v>45698</v>
      </c>
      <c r="D1031" s="42" t="s">
        <v>476</v>
      </c>
      <c r="E1031" s="42" t="s">
        <v>411</v>
      </c>
      <c r="F1031" s="47">
        <v>0</v>
      </c>
      <c r="G1031" s="44">
        <v>46047</v>
      </c>
      <c r="H1031" s="45" t="e">
        <f t="shared" si="4"/>
        <v>#N/A</v>
      </c>
      <c r="I1031" s="46">
        <v>46064.74931712963</v>
      </c>
    </row>
    <row r="1032" spans="1:10">
      <c r="A1032" s="40" t="s">
        <v>773</v>
      </c>
      <c r="B1032" s="40" t="s">
        <v>774</v>
      </c>
      <c r="C1032" s="41">
        <v>46113</v>
      </c>
      <c r="D1032" s="42" t="s">
        <v>476</v>
      </c>
      <c r="E1032" s="42" t="s">
        <v>411</v>
      </c>
      <c r="F1032" s="43"/>
      <c r="G1032" s="49">
        <v>46107</v>
      </c>
      <c r="H1032" s="49">
        <v>46107</v>
      </c>
      <c r="I1032" s="46"/>
    </row>
    <row r="1033" spans="1:10">
      <c r="A1033" s="40" t="s">
        <v>773</v>
      </c>
      <c r="B1033" s="40" t="s">
        <v>774</v>
      </c>
      <c r="C1033" s="41">
        <v>46082</v>
      </c>
      <c r="D1033" s="42" t="s">
        <v>476</v>
      </c>
      <c r="E1033" s="42" t="s">
        <v>411</v>
      </c>
      <c r="F1033" s="43"/>
      <c r="G1033" s="49">
        <v>46079</v>
      </c>
      <c r="H1033" s="49">
        <v>46079</v>
      </c>
      <c r="I1033" s="43"/>
    </row>
    <row r="1034" spans="1:10">
      <c r="A1034" s="40" t="s">
        <v>773</v>
      </c>
      <c r="B1034" s="40" t="s">
        <v>774</v>
      </c>
      <c r="C1034" s="41">
        <v>46054</v>
      </c>
      <c r="D1034" s="42" t="s">
        <v>476</v>
      </c>
      <c r="E1034" s="42" t="s">
        <v>411</v>
      </c>
      <c r="F1034" s="47">
        <v>94.24</v>
      </c>
      <c r="G1034" s="49">
        <v>46048</v>
      </c>
      <c r="H1034" s="49">
        <v>46048</v>
      </c>
      <c r="I1034" s="46">
        <v>46057.360474537039</v>
      </c>
    </row>
    <row r="1035" spans="1:10">
      <c r="A1035" s="40" t="s">
        <v>773</v>
      </c>
      <c r="B1035" s="40" t="s">
        <v>774</v>
      </c>
      <c r="C1035" s="41">
        <v>46023</v>
      </c>
      <c r="D1035" s="42" t="s">
        <v>476</v>
      </c>
      <c r="E1035" s="42" t="s">
        <v>411</v>
      </c>
      <c r="F1035" s="47">
        <v>95.07</v>
      </c>
      <c r="G1035" s="49">
        <v>46381</v>
      </c>
      <c r="H1035" s="49">
        <v>46381</v>
      </c>
      <c r="I1035" s="46">
        <v>46030.441446759258</v>
      </c>
    </row>
    <row r="1036" spans="1:10">
      <c r="A1036" s="40" t="s">
        <v>773</v>
      </c>
      <c r="B1036" s="40" t="s">
        <v>774</v>
      </c>
      <c r="C1036" s="41">
        <v>45992</v>
      </c>
      <c r="D1036" s="42" t="s">
        <v>476</v>
      </c>
      <c r="E1036" s="42" t="s">
        <v>411</v>
      </c>
      <c r="F1036" s="47">
        <v>94.39</v>
      </c>
      <c r="G1036" s="49">
        <v>46351</v>
      </c>
      <c r="H1036" s="49">
        <v>46351</v>
      </c>
      <c r="I1036" s="46">
        <v>45995.688576388886</v>
      </c>
    </row>
    <row r="1037" spans="1:10">
      <c r="A1037" s="40" t="s">
        <v>773</v>
      </c>
      <c r="B1037" s="40" t="s">
        <v>774</v>
      </c>
      <c r="C1037" s="41">
        <v>45962</v>
      </c>
      <c r="D1037" s="42" t="s">
        <v>476</v>
      </c>
      <c r="E1037" s="42" t="s">
        <v>411</v>
      </c>
      <c r="F1037" s="47">
        <v>94.49</v>
      </c>
      <c r="G1037" s="49">
        <v>46320</v>
      </c>
      <c r="H1037" s="49">
        <v>46320</v>
      </c>
      <c r="I1037" s="46">
        <v>45981.500636574077</v>
      </c>
    </row>
    <row r="1038" spans="1:10">
      <c r="A1038" s="40" t="s">
        <v>773</v>
      </c>
      <c r="B1038" s="40" t="s">
        <v>774</v>
      </c>
      <c r="C1038" s="41">
        <v>45931</v>
      </c>
      <c r="D1038" s="42" t="s">
        <v>476</v>
      </c>
      <c r="E1038" s="42" t="s">
        <v>411</v>
      </c>
      <c r="F1038" s="47">
        <v>89.07</v>
      </c>
      <c r="G1038" s="49">
        <v>46290</v>
      </c>
      <c r="H1038" s="49">
        <v>46290</v>
      </c>
      <c r="I1038" s="46">
        <v>45981.616851851853</v>
      </c>
    </row>
    <row r="1039" spans="1:10">
      <c r="A1039" s="40" t="s">
        <v>773</v>
      </c>
      <c r="B1039" s="40" t="s">
        <v>774</v>
      </c>
      <c r="C1039" s="41">
        <v>45901</v>
      </c>
      <c r="D1039" s="42" t="s">
        <v>476</v>
      </c>
      <c r="E1039" s="42" t="s">
        <v>411</v>
      </c>
      <c r="F1039" s="47">
        <v>89.91</v>
      </c>
      <c r="G1039" s="49">
        <v>46259</v>
      </c>
      <c r="H1039" s="49">
        <v>46259</v>
      </c>
      <c r="I1039" s="46">
        <v>45981.616701388892</v>
      </c>
    </row>
    <row r="1040" spans="1:10">
      <c r="A1040" s="40" t="s">
        <v>773</v>
      </c>
      <c r="B1040" s="40" t="s">
        <v>774</v>
      </c>
      <c r="C1040" s="41">
        <v>45870</v>
      </c>
      <c r="D1040" s="42" t="s">
        <v>476</v>
      </c>
      <c r="E1040" s="42" t="s">
        <v>411</v>
      </c>
      <c r="F1040" s="47">
        <v>81</v>
      </c>
      <c r="G1040" s="49">
        <v>46228</v>
      </c>
      <c r="H1040" s="49">
        <v>46228</v>
      </c>
      <c r="I1040" s="46">
        <v>45981.616643518515</v>
      </c>
    </row>
    <row r="1041" spans="1:9">
      <c r="A1041" s="40" t="s">
        <v>773</v>
      </c>
      <c r="B1041" s="40" t="s">
        <v>774</v>
      </c>
      <c r="C1041" s="41">
        <v>45839</v>
      </c>
      <c r="D1041" s="42" t="s">
        <v>476</v>
      </c>
      <c r="E1041" s="42" t="s">
        <v>411</v>
      </c>
      <c r="F1041" s="47">
        <v>79</v>
      </c>
      <c r="G1041" s="49">
        <v>46198</v>
      </c>
      <c r="H1041" s="49">
        <v>46198</v>
      </c>
      <c r="I1041" s="46">
        <v>45981.616597222222</v>
      </c>
    </row>
    <row r="1042" spans="1:9">
      <c r="A1042" s="40" t="s">
        <v>773</v>
      </c>
      <c r="B1042" s="40" t="s">
        <v>774</v>
      </c>
      <c r="C1042" s="41">
        <v>45809</v>
      </c>
      <c r="D1042" s="42" t="s">
        <v>476</v>
      </c>
      <c r="E1042" s="42" t="s">
        <v>411</v>
      </c>
      <c r="F1042" s="47">
        <v>60.46</v>
      </c>
      <c r="G1042" s="49">
        <v>46167</v>
      </c>
      <c r="H1042" s="49">
        <v>46167</v>
      </c>
      <c r="I1042" s="46">
        <v>45981.616550925923</v>
      </c>
    </row>
    <row r="1043" spans="1:9">
      <c r="A1043" s="40" t="s">
        <v>773</v>
      </c>
      <c r="B1043" s="40" t="s">
        <v>774</v>
      </c>
      <c r="C1043" s="41">
        <v>45778</v>
      </c>
      <c r="D1043" s="42" t="s">
        <v>476</v>
      </c>
      <c r="E1043" s="42" t="s">
        <v>411</v>
      </c>
      <c r="F1043" s="47">
        <v>67.260000000000005</v>
      </c>
      <c r="G1043" s="49">
        <v>46137</v>
      </c>
      <c r="H1043" s="49">
        <v>46137</v>
      </c>
      <c r="I1043" s="46">
        <v>45981.61645833333</v>
      </c>
    </row>
    <row r="1044" spans="1:9">
      <c r="A1044" s="40" t="s">
        <v>773</v>
      </c>
      <c r="B1044" s="40" t="s">
        <v>774</v>
      </c>
      <c r="C1044" s="41">
        <v>45748</v>
      </c>
      <c r="D1044" s="42" t="s">
        <v>476</v>
      </c>
      <c r="E1044" s="42" t="s">
        <v>411</v>
      </c>
      <c r="F1044" s="47">
        <v>65.959999999999994</v>
      </c>
      <c r="G1044" s="49">
        <v>46106</v>
      </c>
      <c r="H1044" s="49">
        <v>46106</v>
      </c>
      <c r="I1044" s="46">
        <v>45981.616400462961</v>
      </c>
    </row>
    <row r="1045" spans="1:9">
      <c r="A1045" s="40" t="s">
        <v>773</v>
      </c>
      <c r="B1045" s="40" t="s">
        <v>774</v>
      </c>
      <c r="C1045" s="41">
        <v>45717</v>
      </c>
      <c r="D1045" s="42" t="s">
        <v>476</v>
      </c>
      <c r="E1045" s="42" t="s">
        <v>411</v>
      </c>
      <c r="F1045" s="47">
        <v>72.34</v>
      </c>
      <c r="G1045" s="49">
        <v>46078</v>
      </c>
      <c r="H1045" s="49">
        <v>46078</v>
      </c>
      <c r="I1045" s="46">
        <v>45981.616319444445</v>
      </c>
    </row>
    <row r="1046" spans="1:9">
      <c r="A1046" s="40" t="s">
        <v>773</v>
      </c>
      <c r="B1046" s="40" t="s">
        <v>774</v>
      </c>
      <c r="C1046" s="41">
        <v>45689</v>
      </c>
      <c r="D1046" s="42" t="s">
        <v>476</v>
      </c>
      <c r="E1046" s="42" t="s">
        <v>411</v>
      </c>
      <c r="F1046" s="47">
        <v>54.42</v>
      </c>
      <c r="G1046" s="49">
        <v>46047</v>
      </c>
      <c r="H1046" s="49">
        <v>46047</v>
      </c>
      <c r="I1046" s="46">
        <v>45981.616238425922</v>
      </c>
    </row>
    <row r="1047" spans="1:9">
      <c r="A1047" s="40" t="s">
        <v>775</v>
      </c>
      <c r="B1047" s="40" t="s">
        <v>776</v>
      </c>
      <c r="C1047" s="41">
        <v>46122</v>
      </c>
      <c r="D1047" s="42" t="s">
        <v>410</v>
      </c>
      <c r="E1047" s="42" t="s">
        <v>411</v>
      </c>
      <c r="F1047" s="43"/>
      <c r="G1047" s="44">
        <v>46107</v>
      </c>
      <c r="H1047" s="45" t="e">
        <f t="shared" ref="H1047:H1168" si="5">DATE(2000+RIGHT(G1047,2),MATCH(LEFT(G1047,3),{"jan";"fev";"mar";"abr";"mai";"jun";"jul";"ago";"set";"out";"nov";"dez"},0),1)</f>
        <v>#N/A</v>
      </c>
      <c r="I1047" s="46"/>
    </row>
    <row r="1048" spans="1:9">
      <c r="A1048" s="40" t="s">
        <v>775</v>
      </c>
      <c r="B1048" s="40" t="s">
        <v>776</v>
      </c>
      <c r="C1048" s="41">
        <v>46091</v>
      </c>
      <c r="D1048" s="42" t="s">
        <v>410</v>
      </c>
      <c r="E1048" s="42" t="s">
        <v>411</v>
      </c>
      <c r="F1048" s="43"/>
      <c r="G1048" s="44">
        <v>46079</v>
      </c>
      <c r="H1048" s="45" t="e">
        <f t="shared" si="5"/>
        <v>#N/A</v>
      </c>
      <c r="I1048" s="43"/>
    </row>
    <row r="1049" spans="1:9">
      <c r="A1049" s="40" t="s">
        <v>775</v>
      </c>
      <c r="B1049" s="40" t="s">
        <v>776</v>
      </c>
      <c r="C1049" s="41">
        <v>46063</v>
      </c>
      <c r="D1049" s="42" t="s">
        <v>410</v>
      </c>
      <c r="E1049" s="42" t="s">
        <v>411</v>
      </c>
      <c r="F1049" s="47">
        <v>288631.8</v>
      </c>
      <c r="G1049" s="44">
        <v>46048</v>
      </c>
      <c r="H1049" s="45" t="e">
        <f t="shared" si="5"/>
        <v>#N/A</v>
      </c>
      <c r="I1049" s="46">
        <v>46070.63521990741</v>
      </c>
    </row>
    <row r="1050" spans="1:9">
      <c r="A1050" s="40" t="s">
        <v>775</v>
      </c>
      <c r="B1050" s="40" t="s">
        <v>776</v>
      </c>
      <c r="C1050" s="41">
        <v>46032</v>
      </c>
      <c r="D1050" s="42" t="s">
        <v>410</v>
      </c>
      <c r="E1050" s="42" t="s">
        <v>411</v>
      </c>
      <c r="F1050" s="47">
        <v>271116.61</v>
      </c>
      <c r="G1050" s="44">
        <v>46381</v>
      </c>
      <c r="H1050" s="45" t="e">
        <f t="shared" si="5"/>
        <v>#N/A</v>
      </c>
      <c r="I1050" s="46">
        <v>46037.594641203701</v>
      </c>
    </row>
    <row r="1051" spans="1:9">
      <c r="A1051" s="40" t="s">
        <v>775</v>
      </c>
      <c r="B1051" s="40" t="s">
        <v>776</v>
      </c>
      <c r="C1051" s="41">
        <v>46001</v>
      </c>
      <c r="D1051" s="42" t="s">
        <v>410</v>
      </c>
      <c r="E1051" s="42" t="s">
        <v>411</v>
      </c>
      <c r="F1051" s="47">
        <v>231881.97</v>
      </c>
      <c r="G1051" s="44">
        <v>46351</v>
      </c>
      <c r="H1051" s="45" t="e">
        <f t="shared" si="5"/>
        <v>#N/A</v>
      </c>
      <c r="I1051" s="46">
        <v>46037.594224537039</v>
      </c>
    </row>
    <row r="1052" spans="1:9">
      <c r="A1052" s="40" t="s">
        <v>775</v>
      </c>
      <c r="B1052" s="40" t="s">
        <v>776</v>
      </c>
      <c r="C1052" s="41">
        <v>45971</v>
      </c>
      <c r="D1052" s="42" t="s">
        <v>410</v>
      </c>
      <c r="E1052" s="42" t="s">
        <v>411</v>
      </c>
      <c r="F1052" s="47">
        <v>265029.76000000001</v>
      </c>
      <c r="G1052" s="44">
        <v>46320</v>
      </c>
      <c r="H1052" s="45" t="e">
        <f t="shared" si="5"/>
        <v>#N/A</v>
      </c>
      <c r="I1052" s="46">
        <v>46010.650497685187</v>
      </c>
    </row>
    <row r="1053" spans="1:9">
      <c r="A1053" s="40" t="s">
        <v>775</v>
      </c>
      <c r="B1053" s="40" t="s">
        <v>776</v>
      </c>
      <c r="C1053" s="41">
        <v>45940</v>
      </c>
      <c r="D1053" s="42" t="s">
        <v>410</v>
      </c>
      <c r="E1053" s="42" t="s">
        <v>411</v>
      </c>
      <c r="F1053" s="47">
        <v>222775.48</v>
      </c>
      <c r="G1053" s="44">
        <v>46290</v>
      </c>
      <c r="H1053" s="45" t="e">
        <f t="shared" si="5"/>
        <v>#N/A</v>
      </c>
      <c r="I1053" s="46">
        <v>46010.650393518517</v>
      </c>
    </row>
    <row r="1054" spans="1:9">
      <c r="A1054" s="40" t="s">
        <v>775</v>
      </c>
      <c r="B1054" s="40" t="s">
        <v>776</v>
      </c>
      <c r="C1054" s="41">
        <v>45910</v>
      </c>
      <c r="D1054" s="42" t="s">
        <v>410</v>
      </c>
      <c r="E1054" s="42" t="s">
        <v>411</v>
      </c>
      <c r="F1054" s="47">
        <v>209573.66</v>
      </c>
      <c r="G1054" s="44">
        <v>46259</v>
      </c>
      <c r="H1054" s="45" t="e">
        <f t="shared" si="5"/>
        <v>#N/A</v>
      </c>
      <c r="I1054" s="46">
        <v>46010.650289351855</v>
      </c>
    </row>
    <row r="1055" spans="1:9">
      <c r="A1055" s="40" t="s">
        <v>775</v>
      </c>
      <c r="B1055" s="40" t="s">
        <v>776</v>
      </c>
      <c r="C1055" s="41">
        <v>45879</v>
      </c>
      <c r="D1055" s="42" t="s">
        <v>410</v>
      </c>
      <c r="E1055" s="42" t="s">
        <v>411</v>
      </c>
      <c r="F1055" s="47">
        <v>254919.01</v>
      </c>
      <c r="G1055" s="44">
        <v>46228</v>
      </c>
      <c r="H1055" s="45" t="e">
        <f t="shared" si="5"/>
        <v>#N/A</v>
      </c>
      <c r="I1055" s="46">
        <v>46010.65016203704</v>
      </c>
    </row>
    <row r="1056" spans="1:9">
      <c r="A1056" s="40" t="s">
        <v>775</v>
      </c>
      <c r="B1056" s="40" t="s">
        <v>776</v>
      </c>
      <c r="C1056" s="41">
        <v>45848</v>
      </c>
      <c r="D1056" s="42" t="s">
        <v>410</v>
      </c>
      <c r="E1056" s="42" t="s">
        <v>411</v>
      </c>
      <c r="F1056" s="47">
        <v>242063.19</v>
      </c>
      <c r="G1056" s="44">
        <v>46198</v>
      </c>
      <c r="H1056" s="45" t="e">
        <f t="shared" si="5"/>
        <v>#N/A</v>
      </c>
      <c r="I1056" s="46">
        <v>46010.650057870371</v>
      </c>
    </row>
    <row r="1057" spans="1:9">
      <c r="A1057" s="40" t="s">
        <v>775</v>
      </c>
      <c r="B1057" s="40" t="s">
        <v>776</v>
      </c>
      <c r="C1057" s="41">
        <v>45818</v>
      </c>
      <c r="D1057" s="42" t="s">
        <v>410</v>
      </c>
      <c r="E1057" s="42" t="s">
        <v>411</v>
      </c>
      <c r="F1057" s="47">
        <v>294757.26</v>
      </c>
      <c r="G1057" s="44">
        <v>46167</v>
      </c>
      <c r="H1057" s="45" t="e">
        <f t="shared" si="5"/>
        <v>#N/A</v>
      </c>
      <c r="I1057" s="46">
        <v>46010.649525462963</v>
      </c>
    </row>
    <row r="1058" spans="1:9">
      <c r="A1058" s="40" t="s">
        <v>775</v>
      </c>
      <c r="B1058" s="40" t="s">
        <v>776</v>
      </c>
      <c r="C1058" s="41">
        <v>45787</v>
      </c>
      <c r="D1058" s="42" t="s">
        <v>410</v>
      </c>
      <c r="E1058" s="42" t="s">
        <v>411</v>
      </c>
      <c r="F1058" s="47">
        <v>248456.2</v>
      </c>
      <c r="G1058" s="44">
        <v>46137</v>
      </c>
      <c r="H1058" s="45" t="e">
        <f t="shared" si="5"/>
        <v>#N/A</v>
      </c>
      <c r="I1058" s="46">
        <v>46010.647916666669</v>
      </c>
    </row>
    <row r="1059" spans="1:9">
      <c r="A1059" s="40" t="s">
        <v>775</v>
      </c>
      <c r="B1059" s="40" t="s">
        <v>776</v>
      </c>
      <c r="C1059" s="41">
        <v>45757</v>
      </c>
      <c r="D1059" s="42" t="s">
        <v>410</v>
      </c>
      <c r="E1059" s="42" t="s">
        <v>411</v>
      </c>
      <c r="F1059" s="47">
        <v>257972.16</v>
      </c>
      <c r="G1059" s="44">
        <v>46106</v>
      </c>
      <c r="H1059" s="45" t="e">
        <f t="shared" si="5"/>
        <v>#N/A</v>
      </c>
      <c r="I1059" s="46">
        <v>46010.647812499999</v>
      </c>
    </row>
    <row r="1060" spans="1:9">
      <c r="A1060" s="40" t="s">
        <v>777</v>
      </c>
      <c r="B1060" s="40" t="s">
        <v>778</v>
      </c>
      <c r="C1060" s="41">
        <v>46122</v>
      </c>
      <c r="D1060" s="42" t="s">
        <v>410</v>
      </c>
      <c r="E1060" s="42" t="s">
        <v>411</v>
      </c>
      <c r="F1060" s="47"/>
      <c r="G1060" s="44">
        <v>46107</v>
      </c>
      <c r="H1060" s="45" t="e">
        <f t="shared" si="5"/>
        <v>#N/A</v>
      </c>
      <c r="I1060" s="46"/>
    </row>
    <row r="1061" spans="1:9">
      <c r="A1061" s="40" t="s">
        <v>777</v>
      </c>
      <c r="B1061" s="40" t="s">
        <v>778</v>
      </c>
      <c r="C1061" s="41">
        <v>46091</v>
      </c>
      <c r="D1061" s="42" t="s">
        <v>410</v>
      </c>
      <c r="E1061" s="42" t="s">
        <v>411</v>
      </c>
      <c r="F1061" s="47"/>
      <c r="G1061" s="44">
        <v>46079</v>
      </c>
      <c r="H1061" s="45" t="e">
        <f t="shared" si="5"/>
        <v>#N/A</v>
      </c>
      <c r="I1061" s="46"/>
    </row>
    <row r="1062" spans="1:9">
      <c r="A1062" s="40" t="s">
        <v>777</v>
      </c>
      <c r="B1062" s="40" t="s">
        <v>778</v>
      </c>
      <c r="C1062" s="41">
        <v>46063</v>
      </c>
      <c r="D1062" s="42" t="s">
        <v>410</v>
      </c>
      <c r="E1062" s="42" t="s">
        <v>411</v>
      </c>
      <c r="F1062" s="47">
        <v>177794.96</v>
      </c>
      <c r="G1062" s="44">
        <v>46048</v>
      </c>
      <c r="H1062" s="45" t="e">
        <f t="shared" si="5"/>
        <v>#N/A</v>
      </c>
      <c r="I1062" s="46">
        <v>46070.628946759258</v>
      </c>
    </row>
    <row r="1063" spans="1:9">
      <c r="A1063" s="40" t="s">
        <v>777</v>
      </c>
      <c r="B1063" s="40" t="s">
        <v>778</v>
      </c>
      <c r="C1063" s="41">
        <v>46032</v>
      </c>
      <c r="D1063" s="42" t="s">
        <v>410</v>
      </c>
      <c r="E1063" s="42" t="s">
        <v>411</v>
      </c>
      <c r="F1063" s="47">
        <v>236578.17</v>
      </c>
      <c r="G1063" s="44">
        <v>46381</v>
      </c>
      <c r="H1063" s="45" t="e">
        <f t="shared" si="5"/>
        <v>#N/A</v>
      </c>
      <c r="I1063" s="46">
        <v>46041.559548611112</v>
      </c>
    </row>
    <row r="1064" spans="1:9">
      <c r="A1064" s="40" t="s">
        <v>777</v>
      </c>
      <c r="B1064" s="40" t="s">
        <v>778</v>
      </c>
      <c r="C1064" s="41">
        <v>46001</v>
      </c>
      <c r="D1064" s="42" t="s">
        <v>410</v>
      </c>
      <c r="E1064" s="42" t="s">
        <v>411</v>
      </c>
      <c r="F1064" s="47">
        <v>180635.1</v>
      </c>
      <c r="G1064" s="44">
        <v>46351</v>
      </c>
      <c r="H1064" s="45" t="e">
        <f t="shared" si="5"/>
        <v>#N/A</v>
      </c>
      <c r="I1064" s="46">
        <v>46002.892708333333</v>
      </c>
    </row>
    <row r="1065" spans="1:9">
      <c r="A1065" s="40" t="s">
        <v>777</v>
      </c>
      <c r="B1065" s="40" t="s">
        <v>778</v>
      </c>
      <c r="C1065" s="41">
        <v>45971</v>
      </c>
      <c r="D1065" s="42" t="s">
        <v>410</v>
      </c>
      <c r="E1065" s="42" t="s">
        <v>411</v>
      </c>
      <c r="F1065" s="47">
        <v>220848.71</v>
      </c>
      <c r="G1065" s="44">
        <v>46320</v>
      </c>
      <c r="H1065" s="45" t="e">
        <f t="shared" si="5"/>
        <v>#N/A</v>
      </c>
      <c r="I1065" s="46">
        <v>45985.406412037039</v>
      </c>
    </row>
    <row r="1066" spans="1:9">
      <c r="A1066" s="40" t="s">
        <v>777</v>
      </c>
      <c r="B1066" s="40" t="s">
        <v>778</v>
      </c>
      <c r="C1066" s="41">
        <v>45940</v>
      </c>
      <c r="D1066" s="42" t="s">
        <v>410</v>
      </c>
      <c r="E1066" s="42" t="s">
        <v>411</v>
      </c>
      <c r="F1066" s="47">
        <v>200646.19</v>
      </c>
      <c r="G1066" s="44">
        <v>46290</v>
      </c>
      <c r="H1066" s="45" t="e">
        <f t="shared" si="5"/>
        <v>#N/A</v>
      </c>
      <c r="I1066" s="46">
        <v>45985.405590277776</v>
      </c>
    </row>
    <row r="1067" spans="1:9">
      <c r="A1067" s="40" t="s">
        <v>777</v>
      </c>
      <c r="B1067" s="40" t="s">
        <v>778</v>
      </c>
      <c r="C1067" s="41">
        <v>45910</v>
      </c>
      <c r="D1067" s="42" t="s">
        <v>410</v>
      </c>
      <c r="E1067" s="42" t="s">
        <v>411</v>
      </c>
      <c r="F1067" s="47">
        <v>161126.79</v>
      </c>
      <c r="G1067" s="44">
        <v>46259</v>
      </c>
      <c r="H1067" s="45" t="e">
        <f t="shared" si="5"/>
        <v>#N/A</v>
      </c>
      <c r="I1067" s="46">
        <v>45985.405370370368</v>
      </c>
    </row>
    <row r="1068" spans="1:9">
      <c r="A1068" s="40" t="s">
        <v>777</v>
      </c>
      <c r="B1068" s="40" t="s">
        <v>778</v>
      </c>
      <c r="C1068" s="41">
        <v>45879</v>
      </c>
      <c r="D1068" s="42" t="s">
        <v>410</v>
      </c>
      <c r="E1068" s="42" t="s">
        <v>411</v>
      </c>
      <c r="F1068" s="47">
        <v>219057.77</v>
      </c>
      <c r="G1068" s="44">
        <v>46228</v>
      </c>
      <c r="H1068" s="45" t="e">
        <f t="shared" si="5"/>
        <v>#N/A</v>
      </c>
      <c r="I1068" s="46">
        <v>45936.652372685188</v>
      </c>
    </row>
    <row r="1069" spans="1:9">
      <c r="A1069" s="40" t="s">
        <v>777</v>
      </c>
      <c r="B1069" s="40" t="s">
        <v>778</v>
      </c>
      <c r="C1069" s="41">
        <v>45848</v>
      </c>
      <c r="D1069" s="42" t="s">
        <v>410</v>
      </c>
      <c r="E1069" s="42" t="s">
        <v>411</v>
      </c>
      <c r="F1069" s="47">
        <v>185119.29</v>
      </c>
      <c r="G1069" s="44">
        <v>46198</v>
      </c>
      <c r="H1069" s="45" t="e">
        <f t="shared" si="5"/>
        <v>#N/A</v>
      </c>
      <c r="I1069" s="46">
        <v>45936.652372685188</v>
      </c>
    </row>
    <row r="1070" spans="1:9">
      <c r="A1070" s="40" t="s">
        <v>777</v>
      </c>
      <c r="B1070" s="40" t="s">
        <v>778</v>
      </c>
      <c r="C1070" s="41">
        <v>45818</v>
      </c>
      <c r="D1070" s="42" t="s">
        <v>410</v>
      </c>
      <c r="E1070" s="42" t="s">
        <v>411</v>
      </c>
      <c r="F1070" s="47">
        <v>228068.33</v>
      </c>
      <c r="G1070" s="44">
        <v>46167</v>
      </c>
      <c r="H1070" s="45" t="e">
        <f t="shared" si="5"/>
        <v>#N/A</v>
      </c>
      <c r="I1070" s="46">
        <v>45936.652372685188</v>
      </c>
    </row>
    <row r="1071" spans="1:9">
      <c r="A1071" s="40" t="s">
        <v>777</v>
      </c>
      <c r="B1071" s="40" t="s">
        <v>778</v>
      </c>
      <c r="C1071" s="41">
        <v>45787</v>
      </c>
      <c r="D1071" s="42" t="s">
        <v>410</v>
      </c>
      <c r="E1071" s="42" t="s">
        <v>411</v>
      </c>
      <c r="F1071" s="47">
        <v>208038</v>
      </c>
      <c r="G1071" s="44">
        <v>46137</v>
      </c>
      <c r="H1071" s="45" t="e">
        <f t="shared" si="5"/>
        <v>#N/A</v>
      </c>
      <c r="I1071" s="46">
        <v>45936.652372685188</v>
      </c>
    </row>
    <row r="1072" spans="1:9">
      <c r="A1072" s="40" t="s">
        <v>777</v>
      </c>
      <c r="B1072" s="40" t="s">
        <v>778</v>
      </c>
      <c r="C1072" s="41">
        <v>45757</v>
      </c>
      <c r="D1072" s="42" t="s">
        <v>410</v>
      </c>
      <c r="E1072" s="42" t="s">
        <v>411</v>
      </c>
      <c r="F1072" s="47">
        <v>201778</v>
      </c>
      <c r="G1072" s="44">
        <v>46106</v>
      </c>
      <c r="H1072" s="45" t="e">
        <f t="shared" si="5"/>
        <v>#N/A</v>
      </c>
      <c r="I1072" s="46">
        <v>45936.652372685188</v>
      </c>
    </row>
    <row r="1073" spans="1:10">
      <c r="A1073" s="40" t="s">
        <v>779</v>
      </c>
      <c r="B1073" s="40" t="s">
        <v>780</v>
      </c>
      <c r="C1073" s="41">
        <v>46122</v>
      </c>
      <c r="D1073" s="42" t="s">
        <v>490</v>
      </c>
      <c r="E1073" s="42" t="s">
        <v>411</v>
      </c>
      <c r="F1073" s="47"/>
      <c r="G1073" s="44">
        <v>46107</v>
      </c>
      <c r="H1073" s="45" t="e">
        <f t="shared" si="5"/>
        <v>#N/A</v>
      </c>
      <c r="I1073" s="46"/>
    </row>
    <row r="1074" spans="1:10">
      <c r="A1074" s="40" t="s">
        <v>779</v>
      </c>
      <c r="B1074" s="40" t="s">
        <v>780</v>
      </c>
      <c r="C1074" s="41">
        <v>46091</v>
      </c>
      <c r="D1074" s="42" t="s">
        <v>490</v>
      </c>
      <c r="E1074" s="42" t="s">
        <v>411</v>
      </c>
      <c r="F1074" s="47"/>
      <c r="G1074" s="44">
        <v>46079</v>
      </c>
      <c r="H1074" s="45" t="e">
        <f t="shared" si="5"/>
        <v>#N/A</v>
      </c>
      <c r="I1074" s="46"/>
    </row>
    <row r="1075" spans="1:10">
      <c r="A1075" s="40" t="s">
        <v>779</v>
      </c>
      <c r="B1075" s="40" t="s">
        <v>780</v>
      </c>
      <c r="C1075" s="41">
        <v>46063</v>
      </c>
      <c r="D1075" s="42" t="s">
        <v>490</v>
      </c>
      <c r="E1075" s="42" t="s">
        <v>411</v>
      </c>
      <c r="F1075" s="47">
        <v>0</v>
      </c>
      <c r="G1075" s="44">
        <v>46048</v>
      </c>
      <c r="H1075" s="45" t="e">
        <f t="shared" si="5"/>
        <v>#N/A</v>
      </c>
      <c r="I1075" s="46">
        <v>46073.581446759257</v>
      </c>
      <c r="J1075" s="40" t="s">
        <v>781</v>
      </c>
    </row>
    <row r="1076" spans="1:10">
      <c r="A1076" s="40" t="s">
        <v>779</v>
      </c>
      <c r="B1076" s="40" t="s">
        <v>780</v>
      </c>
      <c r="C1076" s="41">
        <v>46032</v>
      </c>
      <c r="D1076" s="42" t="s">
        <v>490</v>
      </c>
      <c r="E1076" s="42" t="s">
        <v>411</v>
      </c>
      <c r="F1076" s="47">
        <v>2</v>
      </c>
      <c r="G1076" s="44">
        <v>46381</v>
      </c>
      <c r="H1076" s="45" t="e">
        <f t="shared" si="5"/>
        <v>#N/A</v>
      </c>
      <c r="I1076" s="46">
        <v>46037.703553240739</v>
      </c>
    </row>
    <row r="1077" spans="1:10">
      <c r="A1077" s="40" t="s">
        <v>779</v>
      </c>
      <c r="B1077" s="40" t="s">
        <v>780</v>
      </c>
      <c r="C1077" s="41">
        <v>46001</v>
      </c>
      <c r="D1077" s="42" t="s">
        <v>490</v>
      </c>
      <c r="E1077" s="42" t="s">
        <v>411</v>
      </c>
      <c r="F1077" s="47">
        <v>0</v>
      </c>
      <c r="G1077" s="44">
        <v>46351</v>
      </c>
      <c r="H1077" s="45" t="e">
        <f t="shared" si="5"/>
        <v>#N/A</v>
      </c>
      <c r="I1077" s="46">
        <v>46006.63486111111</v>
      </c>
    </row>
    <row r="1078" spans="1:10">
      <c r="A1078" s="40" t="s">
        <v>779</v>
      </c>
      <c r="B1078" s="40" t="s">
        <v>780</v>
      </c>
      <c r="C1078" s="41">
        <v>45971</v>
      </c>
      <c r="D1078" s="42" t="s">
        <v>490</v>
      </c>
      <c r="E1078" s="42" t="s">
        <v>411</v>
      </c>
      <c r="F1078" s="47">
        <v>0</v>
      </c>
      <c r="G1078" s="44">
        <v>46320</v>
      </c>
      <c r="H1078" s="45" t="e">
        <f t="shared" si="5"/>
        <v>#N/A</v>
      </c>
      <c r="I1078" s="46">
        <v>45968.671597222223</v>
      </c>
    </row>
    <row r="1079" spans="1:10">
      <c r="A1079" s="40" t="s">
        <v>779</v>
      </c>
      <c r="B1079" s="40" t="s">
        <v>780</v>
      </c>
      <c r="C1079" s="41">
        <v>45940</v>
      </c>
      <c r="D1079" s="42" t="s">
        <v>490</v>
      </c>
      <c r="E1079" s="42" t="s">
        <v>411</v>
      </c>
      <c r="F1079" s="47">
        <v>0</v>
      </c>
      <c r="G1079" s="44">
        <v>46290</v>
      </c>
      <c r="H1079" s="45" t="e">
        <f t="shared" si="5"/>
        <v>#N/A</v>
      </c>
      <c r="I1079" s="46">
        <v>45944.572094907409</v>
      </c>
    </row>
    <row r="1080" spans="1:10">
      <c r="A1080" s="40" t="s">
        <v>779</v>
      </c>
      <c r="B1080" s="40" t="s">
        <v>780</v>
      </c>
      <c r="C1080" s="41">
        <v>45910</v>
      </c>
      <c r="D1080" s="42" t="s">
        <v>490</v>
      </c>
      <c r="E1080" s="42" t="s">
        <v>411</v>
      </c>
      <c r="F1080" s="47">
        <v>2</v>
      </c>
      <c r="G1080" s="44">
        <v>46259</v>
      </c>
      <c r="H1080" s="45" t="e">
        <f t="shared" si="5"/>
        <v>#N/A</v>
      </c>
      <c r="I1080" s="46">
        <v>45944.572858796295</v>
      </c>
    </row>
    <row r="1081" spans="1:10">
      <c r="A1081" s="40" t="s">
        <v>779</v>
      </c>
      <c r="B1081" s="40" t="s">
        <v>780</v>
      </c>
      <c r="C1081" s="41">
        <v>45879</v>
      </c>
      <c r="D1081" s="42" t="s">
        <v>490</v>
      </c>
      <c r="E1081" s="42" t="s">
        <v>411</v>
      </c>
      <c r="F1081" s="47">
        <v>0</v>
      </c>
      <c r="G1081" s="44">
        <v>46228</v>
      </c>
      <c r="H1081" s="45" t="e">
        <f t="shared" si="5"/>
        <v>#N/A</v>
      </c>
      <c r="I1081" s="46">
        <v>45938.709340277775</v>
      </c>
    </row>
    <row r="1082" spans="1:10">
      <c r="A1082" s="40" t="s">
        <v>779</v>
      </c>
      <c r="B1082" s="40" t="s">
        <v>780</v>
      </c>
      <c r="C1082" s="41">
        <v>45848</v>
      </c>
      <c r="D1082" s="42" t="s">
        <v>490</v>
      </c>
      <c r="E1082" s="42" t="s">
        <v>411</v>
      </c>
      <c r="F1082" s="47">
        <v>0</v>
      </c>
      <c r="G1082" s="44">
        <v>46198</v>
      </c>
      <c r="H1082" s="45" t="e">
        <f t="shared" si="5"/>
        <v>#N/A</v>
      </c>
      <c r="I1082" s="46">
        <v>45938.709340277775</v>
      </c>
    </row>
    <row r="1083" spans="1:10">
      <c r="A1083" s="40" t="s">
        <v>779</v>
      </c>
      <c r="B1083" s="40" t="s">
        <v>780</v>
      </c>
      <c r="C1083" s="41">
        <v>45818</v>
      </c>
      <c r="D1083" s="42" t="s">
        <v>490</v>
      </c>
      <c r="E1083" s="42" t="s">
        <v>411</v>
      </c>
      <c r="F1083" s="47">
        <v>1</v>
      </c>
      <c r="G1083" s="44">
        <v>46167</v>
      </c>
      <c r="H1083" s="45" t="e">
        <f t="shared" si="5"/>
        <v>#N/A</v>
      </c>
      <c r="I1083" s="46">
        <v>45938.709340277775</v>
      </c>
    </row>
    <row r="1084" spans="1:10">
      <c r="A1084" s="40" t="s">
        <v>779</v>
      </c>
      <c r="B1084" s="40" t="s">
        <v>780</v>
      </c>
      <c r="C1084" s="41">
        <v>45787</v>
      </c>
      <c r="D1084" s="42" t="s">
        <v>490</v>
      </c>
      <c r="E1084" s="42" t="s">
        <v>411</v>
      </c>
      <c r="F1084" s="47">
        <v>1</v>
      </c>
      <c r="G1084" s="44">
        <v>46137</v>
      </c>
      <c r="H1084" s="45" t="e">
        <f t="shared" si="5"/>
        <v>#N/A</v>
      </c>
      <c r="I1084" s="46">
        <v>45938.709340277775</v>
      </c>
    </row>
    <row r="1085" spans="1:10">
      <c r="A1085" s="40" t="s">
        <v>779</v>
      </c>
      <c r="B1085" s="40" t="s">
        <v>780</v>
      </c>
      <c r="C1085" s="41">
        <v>45757</v>
      </c>
      <c r="D1085" s="42" t="s">
        <v>490</v>
      </c>
      <c r="E1085" s="42" t="s">
        <v>411</v>
      </c>
      <c r="F1085" s="47">
        <v>0</v>
      </c>
      <c r="G1085" s="44">
        <v>46106</v>
      </c>
      <c r="H1085" s="45" t="e">
        <f t="shared" si="5"/>
        <v>#N/A</v>
      </c>
      <c r="I1085" s="46">
        <v>45938.709340277775</v>
      </c>
    </row>
    <row r="1086" spans="1:10">
      <c r="A1086" s="40" t="s">
        <v>782</v>
      </c>
      <c r="B1086" s="40" t="s">
        <v>783</v>
      </c>
      <c r="C1086" s="41">
        <v>46117</v>
      </c>
      <c r="D1086" s="42" t="s">
        <v>476</v>
      </c>
      <c r="E1086" s="42" t="s">
        <v>411</v>
      </c>
      <c r="F1086" s="47"/>
      <c r="G1086" s="44">
        <v>46107</v>
      </c>
      <c r="H1086" s="45" t="e">
        <f t="shared" si="5"/>
        <v>#N/A</v>
      </c>
      <c r="I1086" s="46"/>
    </row>
    <row r="1087" spans="1:10">
      <c r="A1087" s="40" t="s">
        <v>782</v>
      </c>
      <c r="B1087" s="40" t="s">
        <v>783</v>
      </c>
      <c r="C1087" s="41">
        <v>46086</v>
      </c>
      <c r="D1087" s="42" t="s">
        <v>476</v>
      </c>
      <c r="E1087" s="42" t="s">
        <v>411</v>
      </c>
      <c r="F1087" s="47"/>
      <c r="G1087" s="44">
        <v>46079</v>
      </c>
      <c r="H1087" s="45" t="e">
        <f t="shared" si="5"/>
        <v>#N/A</v>
      </c>
      <c r="I1087" s="46"/>
    </row>
    <row r="1088" spans="1:10">
      <c r="A1088" s="40" t="s">
        <v>784</v>
      </c>
      <c r="B1088" s="40" t="s">
        <v>785</v>
      </c>
      <c r="C1088" s="41">
        <v>46122</v>
      </c>
      <c r="D1088" s="42" t="s">
        <v>490</v>
      </c>
      <c r="E1088" s="42" t="s">
        <v>411</v>
      </c>
      <c r="F1088" s="47"/>
      <c r="G1088" s="44">
        <v>46107</v>
      </c>
      <c r="H1088" s="45" t="e">
        <f t="shared" si="5"/>
        <v>#N/A</v>
      </c>
      <c r="I1088" s="46"/>
    </row>
    <row r="1089" spans="1:10">
      <c r="A1089" s="40" t="s">
        <v>784</v>
      </c>
      <c r="B1089" s="40" t="s">
        <v>785</v>
      </c>
      <c r="C1089" s="41">
        <v>46091</v>
      </c>
      <c r="D1089" s="42" t="s">
        <v>490</v>
      </c>
      <c r="E1089" s="42" t="s">
        <v>411</v>
      </c>
      <c r="F1089" s="47"/>
      <c r="G1089" s="44">
        <v>46079</v>
      </c>
      <c r="H1089" s="45" t="e">
        <f t="shared" si="5"/>
        <v>#N/A</v>
      </c>
      <c r="I1089" s="46"/>
    </row>
    <row r="1090" spans="1:10">
      <c r="A1090" s="40" t="s">
        <v>784</v>
      </c>
      <c r="B1090" s="40" t="s">
        <v>785</v>
      </c>
      <c r="C1090" s="41">
        <v>46063</v>
      </c>
      <c r="D1090" s="42" t="s">
        <v>490</v>
      </c>
      <c r="E1090" s="42" t="s">
        <v>411</v>
      </c>
      <c r="F1090" s="47">
        <v>9</v>
      </c>
      <c r="G1090" s="44">
        <v>46048</v>
      </c>
      <c r="H1090" s="45" t="e">
        <f t="shared" si="5"/>
        <v>#N/A</v>
      </c>
      <c r="I1090" s="46">
        <v>46063.656226851854</v>
      </c>
    </row>
    <row r="1091" spans="1:10">
      <c r="A1091" s="40" t="s">
        <v>784</v>
      </c>
      <c r="B1091" s="40" t="s">
        <v>785</v>
      </c>
      <c r="C1091" s="41">
        <v>46032</v>
      </c>
      <c r="D1091" s="42" t="s">
        <v>490</v>
      </c>
      <c r="E1091" s="42" t="s">
        <v>411</v>
      </c>
      <c r="F1091" s="47">
        <v>11</v>
      </c>
      <c r="G1091" s="44">
        <v>46381</v>
      </c>
      <c r="H1091" s="45" t="e">
        <f t="shared" si="5"/>
        <v>#N/A</v>
      </c>
      <c r="I1091" s="46">
        <v>46030.510300925926</v>
      </c>
    </row>
    <row r="1092" spans="1:10">
      <c r="A1092" s="40" t="s">
        <v>784</v>
      </c>
      <c r="B1092" s="40" t="s">
        <v>785</v>
      </c>
      <c r="C1092" s="41">
        <v>46001</v>
      </c>
      <c r="D1092" s="42" t="s">
        <v>490</v>
      </c>
      <c r="E1092" s="42" t="s">
        <v>411</v>
      </c>
      <c r="F1092" s="47">
        <v>14</v>
      </c>
      <c r="G1092" s="44">
        <v>46351</v>
      </c>
      <c r="H1092" s="45" t="e">
        <f t="shared" si="5"/>
        <v>#N/A</v>
      </c>
      <c r="I1092" s="46">
        <v>46002.608518518522</v>
      </c>
    </row>
    <row r="1093" spans="1:10">
      <c r="A1093" s="40" t="s">
        <v>784</v>
      </c>
      <c r="B1093" s="40" t="s">
        <v>785</v>
      </c>
      <c r="C1093" s="41">
        <v>45971</v>
      </c>
      <c r="D1093" s="42" t="s">
        <v>490</v>
      </c>
      <c r="E1093" s="42" t="s">
        <v>411</v>
      </c>
      <c r="F1093" s="47">
        <v>23</v>
      </c>
      <c r="G1093" s="44">
        <v>46320</v>
      </c>
      <c r="H1093" s="45" t="e">
        <f t="shared" si="5"/>
        <v>#N/A</v>
      </c>
      <c r="I1093" s="46">
        <v>45972.658576388887</v>
      </c>
    </row>
    <row r="1094" spans="1:10">
      <c r="A1094" s="40" t="s">
        <v>784</v>
      </c>
      <c r="B1094" s="40" t="s">
        <v>785</v>
      </c>
      <c r="C1094" s="41">
        <v>45940</v>
      </c>
      <c r="D1094" s="42" t="s">
        <v>490</v>
      </c>
      <c r="E1094" s="42" t="s">
        <v>411</v>
      </c>
      <c r="F1094" s="47">
        <v>3</v>
      </c>
      <c r="G1094" s="44">
        <v>46290</v>
      </c>
      <c r="H1094" s="45" t="e">
        <f t="shared" si="5"/>
        <v>#N/A</v>
      </c>
      <c r="I1094" s="46">
        <v>45985.440486111111</v>
      </c>
      <c r="J1094" s="40" t="s">
        <v>786</v>
      </c>
    </row>
    <row r="1095" spans="1:10">
      <c r="A1095" s="40" t="s">
        <v>784</v>
      </c>
      <c r="B1095" s="40" t="s">
        <v>785</v>
      </c>
      <c r="C1095" s="41">
        <v>45910</v>
      </c>
      <c r="D1095" s="42" t="s">
        <v>490</v>
      </c>
      <c r="E1095" s="42" t="s">
        <v>411</v>
      </c>
      <c r="F1095" s="47">
        <v>19</v>
      </c>
      <c r="G1095" s="44">
        <v>46259</v>
      </c>
      <c r="H1095" s="45" t="e">
        <f t="shared" si="5"/>
        <v>#N/A</v>
      </c>
      <c r="I1095" s="46">
        <v>45936.650289351855</v>
      </c>
    </row>
    <row r="1096" spans="1:10">
      <c r="A1096" s="40" t="s">
        <v>784</v>
      </c>
      <c r="B1096" s="40" t="s">
        <v>785</v>
      </c>
      <c r="C1096" s="41">
        <v>45879</v>
      </c>
      <c r="D1096" s="42" t="s">
        <v>490</v>
      </c>
      <c r="E1096" s="42" t="s">
        <v>411</v>
      </c>
      <c r="F1096" s="47">
        <v>15</v>
      </c>
      <c r="G1096" s="44">
        <v>46228</v>
      </c>
      <c r="H1096" s="45" t="e">
        <f t="shared" si="5"/>
        <v>#N/A</v>
      </c>
      <c r="I1096" s="46">
        <v>45936.650289351855</v>
      </c>
    </row>
    <row r="1097" spans="1:10">
      <c r="A1097" s="40" t="s">
        <v>784</v>
      </c>
      <c r="B1097" s="40" t="s">
        <v>785</v>
      </c>
      <c r="C1097" s="41">
        <v>45848</v>
      </c>
      <c r="D1097" s="42" t="s">
        <v>490</v>
      </c>
      <c r="E1097" s="42" t="s">
        <v>411</v>
      </c>
      <c r="F1097" s="47">
        <v>19</v>
      </c>
      <c r="G1097" s="44">
        <v>46198</v>
      </c>
      <c r="H1097" s="45" t="e">
        <f t="shared" si="5"/>
        <v>#N/A</v>
      </c>
      <c r="I1097" s="46">
        <v>45936.650289351855</v>
      </c>
    </row>
    <row r="1098" spans="1:10">
      <c r="A1098" s="40" t="s">
        <v>784</v>
      </c>
      <c r="B1098" s="40" t="s">
        <v>785</v>
      </c>
      <c r="C1098" s="41">
        <v>45818</v>
      </c>
      <c r="D1098" s="42" t="s">
        <v>490</v>
      </c>
      <c r="E1098" s="42" t="s">
        <v>411</v>
      </c>
      <c r="F1098" s="47">
        <v>22</v>
      </c>
      <c r="G1098" s="44">
        <v>46167</v>
      </c>
      <c r="H1098" s="45" t="e">
        <f t="shared" si="5"/>
        <v>#N/A</v>
      </c>
      <c r="I1098" s="46">
        <v>45936.650289351855</v>
      </c>
    </row>
    <row r="1099" spans="1:10">
      <c r="A1099" s="40" t="s">
        <v>784</v>
      </c>
      <c r="B1099" s="40" t="s">
        <v>785</v>
      </c>
      <c r="C1099" s="41">
        <v>45787</v>
      </c>
      <c r="D1099" s="42" t="s">
        <v>490</v>
      </c>
      <c r="E1099" s="42" t="s">
        <v>411</v>
      </c>
      <c r="F1099" s="47">
        <v>1</v>
      </c>
      <c r="G1099" s="44">
        <v>46137</v>
      </c>
      <c r="H1099" s="45" t="e">
        <f t="shared" si="5"/>
        <v>#N/A</v>
      </c>
      <c r="I1099" s="46">
        <v>45936.650289351855</v>
      </c>
    </row>
    <row r="1100" spans="1:10">
      <c r="A1100" s="40" t="s">
        <v>787</v>
      </c>
      <c r="B1100" s="40" t="s">
        <v>788</v>
      </c>
      <c r="C1100" s="41">
        <v>46122</v>
      </c>
      <c r="D1100" s="42" t="s">
        <v>410</v>
      </c>
      <c r="E1100" s="42" t="s">
        <v>411</v>
      </c>
      <c r="F1100" s="47"/>
      <c r="G1100" s="44">
        <v>46107</v>
      </c>
      <c r="H1100" s="45" t="e">
        <f t="shared" si="5"/>
        <v>#N/A</v>
      </c>
      <c r="I1100" s="46"/>
    </row>
    <row r="1101" spans="1:10">
      <c r="A1101" s="40" t="s">
        <v>787</v>
      </c>
      <c r="B1101" s="40" t="s">
        <v>788</v>
      </c>
      <c r="C1101" s="41">
        <v>46091</v>
      </c>
      <c r="D1101" s="42" t="s">
        <v>410</v>
      </c>
      <c r="E1101" s="42" t="s">
        <v>411</v>
      </c>
      <c r="F1101" s="47"/>
      <c r="G1101" s="44">
        <v>46079</v>
      </c>
      <c r="H1101" s="45" t="e">
        <f t="shared" si="5"/>
        <v>#N/A</v>
      </c>
      <c r="I1101" s="46"/>
    </row>
    <row r="1102" spans="1:10">
      <c r="A1102" s="40" t="s">
        <v>787</v>
      </c>
      <c r="B1102" s="40" t="s">
        <v>788</v>
      </c>
      <c r="C1102" s="41">
        <v>46063</v>
      </c>
      <c r="D1102" s="42" t="s">
        <v>410</v>
      </c>
      <c r="E1102" s="42" t="s">
        <v>411</v>
      </c>
      <c r="F1102" s="47">
        <v>302408.5</v>
      </c>
      <c r="G1102" s="44">
        <v>46048</v>
      </c>
      <c r="H1102" s="45" t="e">
        <f t="shared" si="5"/>
        <v>#N/A</v>
      </c>
      <c r="I1102" s="46">
        <v>46070.634039351855</v>
      </c>
    </row>
    <row r="1103" spans="1:10">
      <c r="A1103" s="40" t="s">
        <v>787</v>
      </c>
      <c r="B1103" s="40" t="s">
        <v>788</v>
      </c>
      <c r="C1103" s="41">
        <v>46032</v>
      </c>
      <c r="D1103" s="42" t="s">
        <v>410</v>
      </c>
      <c r="E1103" s="42" t="s">
        <v>411</v>
      </c>
      <c r="F1103" s="47">
        <v>253446.22</v>
      </c>
      <c r="G1103" s="44">
        <v>46381</v>
      </c>
      <c r="H1103" s="45" t="e">
        <f t="shared" si="5"/>
        <v>#N/A</v>
      </c>
      <c r="I1103" s="46">
        <v>46041.526620370372</v>
      </c>
    </row>
    <row r="1104" spans="1:10">
      <c r="A1104" s="40" t="s">
        <v>787</v>
      </c>
      <c r="B1104" s="40" t="s">
        <v>788</v>
      </c>
      <c r="C1104" s="41">
        <v>46001</v>
      </c>
      <c r="D1104" s="42" t="s">
        <v>410</v>
      </c>
      <c r="E1104" s="42" t="s">
        <v>411</v>
      </c>
      <c r="F1104" s="47">
        <v>277345</v>
      </c>
      <c r="G1104" s="44">
        <v>46351</v>
      </c>
      <c r="H1104" s="45" t="e">
        <f t="shared" si="5"/>
        <v>#N/A</v>
      </c>
      <c r="I1104" s="46">
        <v>46002.912222222221</v>
      </c>
    </row>
    <row r="1105" spans="1:10">
      <c r="A1105" s="40" t="s">
        <v>787</v>
      </c>
      <c r="B1105" s="40" t="s">
        <v>788</v>
      </c>
      <c r="C1105" s="41">
        <v>45971</v>
      </c>
      <c r="D1105" s="42" t="s">
        <v>410</v>
      </c>
      <c r="E1105" s="42" t="s">
        <v>411</v>
      </c>
      <c r="F1105" s="47">
        <v>283321.18</v>
      </c>
      <c r="G1105" s="44">
        <v>46320</v>
      </c>
      <c r="H1105" s="45" t="e">
        <f t="shared" si="5"/>
        <v>#N/A</v>
      </c>
      <c r="I1105" s="46">
        <v>46002.912060185183</v>
      </c>
    </row>
    <row r="1106" spans="1:10">
      <c r="A1106" s="40" t="s">
        <v>787</v>
      </c>
      <c r="B1106" s="40" t="s">
        <v>788</v>
      </c>
      <c r="C1106" s="41">
        <v>45940</v>
      </c>
      <c r="D1106" s="42" t="s">
        <v>410</v>
      </c>
      <c r="E1106" s="42" t="s">
        <v>411</v>
      </c>
      <c r="F1106" s="47">
        <v>290813.28000000003</v>
      </c>
      <c r="G1106" s="44">
        <v>46290</v>
      </c>
      <c r="H1106" s="45" t="e">
        <f t="shared" si="5"/>
        <v>#N/A</v>
      </c>
      <c r="I1106" s="46">
        <v>46002.911840277775</v>
      </c>
    </row>
    <row r="1107" spans="1:10">
      <c r="A1107" s="40" t="s">
        <v>787</v>
      </c>
      <c r="B1107" s="40" t="s">
        <v>788</v>
      </c>
      <c r="C1107" s="41">
        <v>45910</v>
      </c>
      <c r="D1107" s="42" t="s">
        <v>410</v>
      </c>
      <c r="E1107" s="42" t="s">
        <v>411</v>
      </c>
      <c r="F1107" s="47">
        <v>267567.39</v>
      </c>
      <c r="G1107" s="44">
        <v>46259</v>
      </c>
      <c r="H1107" s="45" t="e">
        <f t="shared" si="5"/>
        <v>#N/A</v>
      </c>
      <c r="I1107" s="46">
        <v>46002.911527777775</v>
      </c>
    </row>
    <row r="1108" spans="1:10">
      <c r="A1108" s="40" t="s">
        <v>787</v>
      </c>
      <c r="B1108" s="40" t="s">
        <v>788</v>
      </c>
      <c r="C1108" s="41">
        <v>45879</v>
      </c>
      <c r="D1108" s="42" t="s">
        <v>410</v>
      </c>
      <c r="E1108" s="42" t="s">
        <v>411</v>
      </c>
      <c r="F1108" s="47">
        <v>286599.87</v>
      </c>
      <c r="G1108" s="44">
        <v>46228</v>
      </c>
      <c r="H1108" s="45" t="e">
        <f t="shared" si="5"/>
        <v>#N/A</v>
      </c>
      <c r="I1108" s="46">
        <v>46002.91133101852</v>
      </c>
    </row>
    <row r="1109" spans="1:10">
      <c r="A1109" s="40" t="s">
        <v>787</v>
      </c>
      <c r="B1109" s="40" t="s">
        <v>788</v>
      </c>
      <c r="C1109" s="41">
        <v>45848</v>
      </c>
      <c r="D1109" s="42" t="s">
        <v>410</v>
      </c>
      <c r="E1109" s="42" t="s">
        <v>411</v>
      </c>
      <c r="F1109" s="47">
        <v>331216.37</v>
      </c>
      <c r="G1109" s="44">
        <v>46198</v>
      </c>
      <c r="H1109" s="45" t="e">
        <f t="shared" si="5"/>
        <v>#N/A</v>
      </c>
      <c r="I1109" s="46">
        <v>46002.911064814813</v>
      </c>
    </row>
    <row r="1110" spans="1:10">
      <c r="A1110" s="40" t="s">
        <v>787</v>
      </c>
      <c r="B1110" s="40" t="s">
        <v>788</v>
      </c>
      <c r="C1110" s="41">
        <v>45818</v>
      </c>
      <c r="D1110" s="42" t="s">
        <v>410</v>
      </c>
      <c r="E1110" s="42" t="s">
        <v>411</v>
      </c>
      <c r="F1110" s="47">
        <v>287726.28999999998</v>
      </c>
      <c r="G1110" s="44">
        <v>46167</v>
      </c>
      <c r="H1110" s="45" t="e">
        <f t="shared" si="5"/>
        <v>#N/A</v>
      </c>
      <c r="I1110" s="46">
        <v>46002.910034722219</v>
      </c>
    </row>
    <row r="1111" spans="1:10">
      <c r="A1111" s="40" t="s">
        <v>787</v>
      </c>
      <c r="B1111" s="40" t="s">
        <v>788</v>
      </c>
      <c r="C1111" s="41">
        <v>45787</v>
      </c>
      <c r="D1111" s="42" t="s">
        <v>410</v>
      </c>
      <c r="E1111" s="42" t="s">
        <v>411</v>
      </c>
      <c r="F1111" s="47">
        <v>280427.75</v>
      </c>
      <c r="G1111" s="44">
        <v>46137</v>
      </c>
      <c r="H1111" s="45" t="e">
        <f t="shared" si="5"/>
        <v>#N/A</v>
      </c>
      <c r="I1111" s="46">
        <v>46002.909791666665</v>
      </c>
    </row>
    <row r="1112" spans="1:10">
      <c r="A1112" s="40" t="s">
        <v>787</v>
      </c>
      <c r="B1112" s="40" t="s">
        <v>788</v>
      </c>
      <c r="C1112" s="41">
        <v>45757</v>
      </c>
      <c r="D1112" s="42" t="s">
        <v>410</v>
      </c>
      <c r="E1112" s="42" t="s">
        <v>411</v>
      </c>
      <c r="F1112" s="47">
        <v>280717.73</v>
      </c>
      <c r="G1112" s="44">
        <v>46106</v>
      </c>
      <c r="H1112" s="45" t="e">
        <f t="shared" si="5"/>
        <v>#N/A</v>
      </c>
      <c r="I1112" s="46">
        <v>46002.905150462961</v>
      </c>
    </row>
    <row r="1113" spans="1:10">
      <c r="A1113" s="40" t="s">
        <v>789</v>
      </c>
      <c r="B1113" s="40" t="s">
        <v>790</v>
      </c>
      <c r="C1113" s="41">
        <v>46117</v>
      </c>
      <c r="D1113" s="42" t="s">
        <v>490</v>
      </c>
      <c r="E1113" s="42" t="s">
        <v>411</v>
      </c>
      <c r="F1113" s="47"/>
      <c r="G1113" s="44">
        <v>46107</v>
      </c>
      <c r="H1113" s="45" t="e">
        <f t="shared" si="5"/>
        <v>#N/A</v>
      </c>
      <c r="I1113" s="46"/>
    </row>
    <row r="1114" spans="1:10">
      <c r="A1114" s="40" t="s">
        <v>789</v>
      </c>
      <c r="B1114" s="40" t="s">
        <v>790</v>
      </c>
      <c r="C1114" s="41">
        <v>46086</v>
      </c>
      <c r="D1114" s="42" t="s">
        <v>490</v>
      </c>
      <c r="E1114" s="42" t="s">
        <v>411</v>
      </c>
      <c r="F1114" s="47"/>
      <c r="G1114" s="44">
        <v>46079</v>
      </c>
      <c r="H1114" s="45" t="e">
        <f t="shared" si="5"/>
        <v>#N/A</v>
      </c>
      <c r="I1114" s="46"/>
    </row>
    <row r="1115" spans="1:10">
      <c r="A1115" s="40" t="s">
        <v>789</v>
      </c>
      <c r="B1115" s="40" t="s">
        <v>790</v>
      </c>
      <c r="C1115" s="41">
        <v>46058</v>
      </c>
      <c r="D1115" s="42" t="s">
        <v>490</v>
      </c>
      <c r="E1115" s="42" t="s">
        <v>411</v>
      </c>
      <c r="F1115" s="47"/>
      <c r="G1115" s="44">
        <v>46048</v>
      </c>
      <c r="H1115" s="45" t="e">
        <f t="shared" si="5"/>
        <v>#N/A</v>
      </c>
      <c r="I1115" s="46"/>
    </row>
    <row r="1116" spans="1:10">
      <c r="A1116" s="40" t="s">
        <v>791</v>
      </c>
      <c r="B1116" s="40" t="s">
        <v>792</v>
      </c>
      <c r="C1116" s="41">
        <v>46117</v>
      </c>
      <c r="D1116" s="42" t="s">
        <v>490</v>
      </c>
      <c r="E1116" s="42" t="s">
        <v>411</v>
      </c>
      <c r="F1116" s="43"/>
      <c r="G1116" s="44">
        <v>46107</v>
      </c>
      <c r="H1116" s="45" t="e">
        <f t="shared" si="5"/>
        <v>#N/A</v>
      </c>
      <c r="I1116" s="43"/>
    </row>
    <row r="1117" spans="1:10">
      <c r="A1117" s="40" t="s">
        <v>791</v>
      </c>
      <c r="B1117" s="40" t="s">
        <v>792</v>
      </c>
      <c r="C1117" s="41">
        <v>46086</v>
      </c>
      <c r="D1117" s="42" t="s">
        <v>490</v>
      </c>
      <c r="E1117" s="42" t="s">
        <v>411</v>
      </c>
      <c r="F1117" s="43"/>
      <c r="G1117" s="44">
        <v>46079</v>
      </c>
      <c r="H1117" s="45" t="e">
        <f t="shared" si="5"/>
        <v>#N/A</v>
      </c>
      <c r="I1117" s="43"/>
    </row>
    <row r="1118" spans="1:10">
      <c r="A1118" s="40" t="s">
        <v>791</v>
      </c>
      <c r="B1118" s="40" t="s">
        <v>792</v>
      </c>
      <c r="C1118" s="41">
        <v>46058</v>
      </c>
      <c r="D1118" s="42" t="s">
        <v>490</v>
      </c>
      <c r="E1118" s="42" t="s">
        <v>411</v>
      </c>
      <c r="F1118" s="47">
        <v>2</v>
      </c>
      <c r="G1118" s="44">
        <v>46048</v>
      </c>
      <c r="H1118" s="45" t="e">
        <f t="shared" si="5"/>
        <v>#N/A</v>
      </c>
      <c r="I1118" s="46">
        <v>46059.476203703707</v>
      </c>
      <c r="J1118" s="40" t="s">
        <v>793</v>
      </c>
    </row>
    <row r="1119" spans="1:10">
      <c r="A1119" s="40" t="s">
        <v>791</v>
      </c>
      <c r="B1119" s="40" t="s">
        <v>792</v>
      </c>
      <c r="C1119" s="41">
        <v>46027</v>
      </c>
      <c r="D1119" s="42" t="s">
        <v>490</v>
      </c>
      <c r="E1119" s="42" t="s">
        <v>411</v>
      </c>
      <c r="F1119" s="47">
        <v>2</v>
      </c>
      <c r="G1119" s="44">
        <v>46381</v>
      </c>
      <c r="H1119" s="45" t="e">
        <f t="shared" si="5"/>
        <v>#N/A</v>
      </c>
      <c r="I1119" s="46">
        <v>46029.372465277775</v>
      </c>
      <c r="J1119" s="40" t="s">
        <v>793</v>
      </c>
    </row>
    <row r="1120" spans="1:10">
      <c r="A1120" s="40" t="s">
        <v>791</v>
      </c>
      <c r="B1120" s="40" t="s">
        <v>792</v>
      </c>
      <c r="C1120" s="41">
        <v>45996</v>
      </c>
      <c r="D1120" s="42" t="s">
        <v>490</v>
      </c>
      <c r="E1120" s="42" t="s">
        <v>411</v>
      </c>
      <c r="F1120" s="47">
        <v>2</v>
      </c>
      <c r="G1120" s="44">
        <v>46351</v>
      </c>
      <c r="H1120" s="45" t="e">
        <f t="shared" si="5"/>
        <v>#N/A</v>
      </c>
      <c r="I1120" s="46">
        <v>45996.593541666669</v>
      </c>
      <c r="J1120" s="40" t="s">
        <v>793</v>
      </c>
    </row>
    <row r="1121" spans="1:10">
      <c r="A1121" s="40" t="s">
        <v>794</v>
      </c>
      <c r="B1121" s="40" t="s">
        <v>795</v>
      </c>
      <c r="C1121" s="41">
        <v>46117</v>
      </c>
      <c r="D1121" s="42" t="s">
        <v>476</v>
      </c>
      <c r="E1121" s="42" t="s">
        <v>411</v>
      </c>
      <c r="F1121" s="47"/>
      <c r="G1121" s="44">
        <v>46107</v>
      </c>
      <c r="H1121" s="45" t="e">
        <f t="shared" si="5"/>
        <v>#N/A</v>
      </c>
      <c r="I1121" s="46"/>
    </row>
    <row r="1122" spans="1:10">
      <c r="A1122" s="40" t="s">
        <v>794</v>
      </c>
      <c r="B1122" s="40" t="s">
        <v>795</v>
      </c>
      <c r="C1122" s="41">
        <v>46086</v>
      </c>
      <c r="D1122" s="42" t="s">
        <v>476</v>
      </c>
      <c r="E1122" s="42" t="s">
        <v>411</v>
      </c>
      <c r="F1122" s="47"/>
      <c r="G1122" s="44">
        <v>46079</v>
      </c>
      <c r="H1122" s="45" t="e">
        <f t="shared" si="5"/>
        <v>#N/A</v>
      </c>
      <c r="I1122" s="46"/>
    </row>
    <row r="1123" spans="1:10">
      <c r="A1123" s="40" t="s">
        <v>794</v>
      </c>
      <c r="B1123" s="40" t="s">
        <v>795</v>
      </c>
      <c r="C1123" s="41">
        <v>46058</v>
      </c>
      <c r="D1123" s="42" t="s">
        <v>476</v>
      </c>
      <c r="E1123" s="42" t="s">
        <v>411</v>
      </c>
      <c r="F1123" s="47">
        <v>75</v>
      </c>
      <c r="G1123" s="44">
        <v>46048</v>
      </c>
      <c r="H1123" s="45" t="e">
        <f t="shared" si="5"/>
        <v>#N/A</v>
      </c>
      <c r="I1123" s="46">
        <v>46071.667997685188</v>
      </c>
      <c r="J1123" s="40" t="s">
        <v>796</v>
      </c>
    </row>
    <row r="1124" spans="1:10">
      <c r="A1124" s="40" t="s">
        <v>794</v>
      </c>
      <c r="B1124" s="40" t="s">
        <v>795</v>
      </c>
      <c r="C1124" s="41">
        <v>46027</v>
      </c>
      <c r="D1124" s="42" t="s">
        <v>476</v>
      </c>
      <c r="E1124" s="42" t="s">
        <v>411</v>
      </c>
      <c r="F1124" s="47">
        <v>100</v>
      </c>
      <c r="G1124" s="44">
        <v>46381</v>
      </c>
      <c r="H1124" s="45" t="e">
        <f t="shared" si="5"/>
        <v>#N/A</v>
      </c>
      <c r="I1124" s="46">
        <v>46030.455081018517</v>
      </c>
      <c r="J1124" s="40" t="s">
        <v>797</v>
      </c>
    </row>
    <row r="1125" spans="1:10">
      <c r="A1125" s="40" t="s">
        <v>794</v>
      </c>
      <c r="B1125" s="40" t="s">
        <v>795</v>
      </c>
      <c r="C1125" s="41">
        <v>45996</v>
      </c>
      <c r="D1125" s="42" t="s">
        <v>476</v>
      </c>
      <c r="E1125" s="42" t="s">
        <v>411</v>
      </c>
      <c r="F1125" s="47">
        <v>90</v>
      </c>
      <c r="G1125" s="44">
        <v>46351</v>
      </c>
      <c r="H1125" s="45" t="e">
        <f t="shared" si="5"/>
        <v>#N/A</v>
      </c>
      <c r="I1125" s="46">
        <v>45996.623437499999</v>
      </c>
      <c r="J1125" s="40" t="s">
        <v>798</v>
      </c>
    </row>
    <row r="1126" spans="1:10">
      <c r="A1126" s="40" t="s">
        <v>799</v>
      </c>
      <c r="B1126" s="40" t="s">
        <v>800</v>
      </c>
      <c r="C1126" s="41">
        <v>46117</v>
      </c>
      <c r="D1126" s="42" t="s">
        <v>559</v>
      </c>
      <c r="E1126" s="42" t="s">
        <v>411</v>
      </c>
      <c r="F1126" s="47"/>
      <c r="G1126" s="44">
        <v>46107</v>
      </c>
      <c r="H1126" s="45" t="e">
        <f t="shared" si="5"/>
        <v>#N/A</v>
      </c>
      <c r="I1126" s="46"/>
    </row>
    <row r="1127" spans="1:10">
      <c r="A1127" s="40" t="s">
        <v>799</v>
      </c>
      <c r="B1127" s="40" t="s">
        <v>800</v>
      </c>
      <c r="C1127" s="41">
        <v>46086</v>
      </c>
      <c r="D1127" s="42" t="s">
        <v>559</v>
      </c>
      <c r="E1127" s="42" t="s">
        <v>411</v>
      </c>
      <c r="F1127" s="47"/>
      <c r="G1127" s="44">
        <v>46079</v>
      </c>
      <c r="H1127" s="45" t="e">
        <f t="shared" si="5"/>
        <v>#N/A</v>
      </c>
      <c r="I1127" s="46"/>
    </row>
    <row r="1128" spans="1:10">
      <c r="A1128" s="40" t="s">
        <v>799</v>
      </c>
      <c r="B1128" s="40" t="s">
        <v>800</v>
      </c>
      <c r="C1128" s="41">
        <v>46058</v>
      </c>
      <c r="D1128" s="42" t="s">
        <v>559</v>
      </c>
      <c r="E1128" s="42" t="s">
        <v>411</v>
      </c>
      <c r="F1128" s="47">
        <v>35</v>
      </c>
      <c r="G1128" s="44">
        <v>46048</v>
      </c>
      <c r="H1128" s="45" t="e">
        <f t="shared" si="5"/>
        <v>#N/A</v>
      </c>
      <c r="I1128" s="46">
        <v>46057.344050925924</v>
      </c>
      <c r="J1128" s="40" t="s">
        <v>801</v>
      </c>
    </row>
    <row r="1129" spans="1:10">
      <c r="A1129" s="40" t="s">
        <v>799</v>
      </c>
      <c r="B1129" s="40" t="s">
        <v>800</v>
      </c>
      <c r="C1129" s="41">
        <v>46027</v>
      </c>
      <c r="D1129" s="42" t="s">
        <v>559</v>
      </c>
      <c r="E1129" s="42" t="s">
        <v>411</v>
      </c>
      <c r="F1129" s="47">
        <v>33</v>
      </c>
      <c r="G1129" s="44">
        <v>46381</v>
      </c>
      <c r="H1129" s="45" t="e">
        <f t="shared" si="5"/>
        <v>#N/A</v>
      </c>
      <c r="I1129" s="46">
        <v>46029.337824074071</v>
      </c>
      <c r="J1129" s="40" t="s">
        <v>801</v>
      </c>
    </row>
    <row r="1130" spans="1:10">
      <c r="A1130" s="40" t="s">
        <v>799</v>
      </c>
      <c r="B1130" s="40" t="s">
        <v>800</v>
      </c>
      <c r="C1130" s="41">
        <v>45996</v>
      </c>
      <c r="D1130" s="42" t="s">
        <v>559</v>
      </c>
      <c r="E1130" s="42" t="s">
        <v>411</v>
      </c>
      <c r="F1130" s="47">
        <v>33</v>
      </c>
      <c r="G1130" s="44">
        <v>46351</v>
      </c>
      <c r="H1130" s="45" t="e">
        <f t="shared" si="5"/>
        <v>#N/A</v>
      </c>
      <c r="I1130" s="46">
        <v>45995.684374999997</v>
      </c>
      <c r="J1130" s="40" t="s">
        <v>801</v>
      </c>
    </row>
    <row r="1131" spans="1:10">
      <c r="A1131" s="40" t="s">
        <v>799</v>
      </c>
      <c r="B1131" s="40" t="s">
        <v>800</v>
      </c>
      <c r="C1131" s="41">
        <v>45966</v>
      </c>
      <c r="D1131" s="42" t="s">
        <v>559</v>
      </c>
      <c r="E1131" s="42" t="s">
        <v>411</v>
      </c>
      <c r="F1131" s="47">
        <v>33</v>
      </c>
      <c r="G1131" s="44">
        <v>46320</v>
      </c>
      <c r="H1131" s="45" t="e">
        <f t="shared" si="5"/>
        <v>#N/A</v>
      </c>
      <c r="I1131" s="46">
        <v>45973.45853009259</v>
      </c>
    </row>
    <row r="1132" spans="1:10">
      <c r="A1132" s="40" t="s">
        <v>799</v>
      </c>
      <c r="B1132" s="40" t="s">
        <v>800</v>
      </c>
      <c r="C1132" s="41">
        <v>45935</v>
      </c>
      <c r="D1132" s="42" t="s">
        <v>559</v>
      </c>
      <c r="E1132" s="42" t="s">
        <v>411</v>
      </c>
      <c r="F1132" s="47">
        <v>34</v>
      </c>
      <c r="G1132" s="44">
        <v>46290</v>
      </c>
      <c r="H1132" s="45" t="e">
        <f t="shared" si="5"/>
        <v>#N/A</v>
      </c>
      <c r="I1132" s="46">
        <v>45933.439733796295</v>
      </c>
    </row>
    <row r="1133" spans="1:10">
      <c r="A1133" s="40" t="s">
        <v>799</v>
      </c>
      <c r="B1133" s="40" t="s">
        <v>800</v>
      </c>
      <c r="C1133" s="41">
        <v>45905</v>
      </c>
      <c r="D1133" s="42" t="s">
        <v>559</v>
      </c>
      <c r="E1133" s="42" t="s">
        <v>411</v>
      </c>
      <c r="F1133" s="47">
        <v>35</v>
      </c>
      <c r="G1133" s="44">
        <v>46259</v>
      </c>
      <c r="H1133" s="45" t="e">
        <f t="shared" si="5"/>
        <v>#N/A</v>
      </c>
      <c r="I1133" s="46">
        <v>45938.715358796297</v>
      </c>
    </row>
    <row r="1134" spans="1:10">
      <c r="A1134" s="40" t="s">
        <v>799</v>
      </c>
      <c r="B1134" s="40" t="s">
        <v>800</v>
      </c>
      <c r="C1134" s="41">
        <v>45874</v>
      </c>
      <c r="D1134" s="42" t="s">
        <v>559</v>
      </c>
      <c r="E1134" s="42" t="s">
        <v>411</v>
      </c>
      <c r="F1134" s="47">
        <v>32</v>
      </c>
      <c r="G1134" s="44">
        <v>46228</v>
      </c>
      <c r="H1134" s="45" t="e">
        <f t="shared" si="5"/>
        <v>#N/A</v>
      </c>
      <c r="I1134" s="46">
        <v>45938.715358796297</v>
      </c>
    </row>
    <row r="1135" spans="1:10">
      <c r="A1135" s="40" t="s">
        <v>799</v>
      </c>
      <c r="B1135" s="40" t="s">
        <v>800</v>
      </c>
      <c r="C1135" s="41">
        <v>45843</v>
      </c>
      <c r="D1135" s="42" t="s">
        <v>559</v>
      </c>
      <c r="E1135" s="42" t="s">
        <v>411</v>
      </c>
      <c r="F1135" s="47">
        <v>34</v>
      </c>
      <c r="G1135" s="44">
        <v>46198</v>
      </c>
      <c r="H1135" s="45" t="e">
        <f t="shared" si="5"/>
        <v>#N/A</v>
      </c>
      <c r="I1135" s="46">
        <v>45938.71534722222</v>
      </c>
    </row>
    <row r="1136" spans="1:10">
      <c r="A1136" s="40" t="s">
        <v>799</v>
      </c>
      <c r="B1136" s="40" t="s">
        <v>800</v>
      </c>
      <c r="C1136" s="41">
        <v>45813</v>
      </c>
      <c r="D1136" s="42" t="s">
        <v>559</v>
      </c>
      <c r="E1136" s="42" t="s">
        <v>411</v>
      </c>
      <c r="F1136" s="47">
        <v>33</v>
      </c>
      <c r="G1136" s="44">
        <v>46167</v>
      </c>
      <c r="H1136" s="45" t="e">
        <f t="shared" si="5"/>
        <v>#N/A</v>
      </c>
      <c r="I1136" s="46">
        <v>45938.71534722222</v>
      </c>
    </row>
    <row r="1137" spans="1:9">
      <c r="A1137" s="40" t="s">
        <v>799</v>
      </c>
      <c r="B1137" s="40" t="s">
        <v>800</v>
      </c>
      <c r="C1137" s="41">
        <v>45782</v>
      </c>
      <c r="D1137" s="42" t="s">
        <v>559</v>
      </c>
      <c r="E1137" s="42" t="s">
        <v>411</v>
      </c>
      <c r="F1137" s="47">
        <v>32</v>
      </c>
      <c r="G1137" s="44">
        <v>46137</v>
      </c>
      <c r="H1137" s="45" t="e">
        <f t="shared" si="5"/>
        <v>#N/A</v>
      </c>
      <c r="I1137" s="46">
        <v>45938.71534722222</v>
      </c>
    </row>
    <row r="1138" spans="1:9">
      <c r="A1138" s="40" t="s">
        <v>799</v>
      </c>
      <c r="B1138" s="40" t="s">
        <v>800</v>
      </c>
      <c r="C1138" s="41">
        <v>45752</v>
      </c>
      <c r="D1138" s="42" t="s">
        <v>559</v>
      </c>
      <c r="E1138" s="42" t="s">
        <v>411</v>
      </c>
      <c r="F1138" s="47">
        <v>30</v>
      </c>
      <c r="G1138" s="44">
        <v>46106</v>
      </c>
      <c r="H1138" s="45" t="e">
        <f t="shared" si="5"/>
        <v>#N/A</v>
      </c>
      <c r="I1138" s="46">
        <v>45938.71534722222</v>
      </c>
    </row>
    <row r="1139" spans="1:9">
      <c r="A1139" s="40" t="s">
        <v>799</v>
      </c>
      <c r="B1139" s="40" t="s">
        <v>800</v>
      </c>
      <c r="C1139" s="41">
        <v>45721</v>
      </c>
      <c r="D1139" s="42" t="s">
        <v>559</v>
      </c>
      <c r="E1139" s="42" t="s">
        <v>411</v>
      </c>
      <c r="F1139" s="47">
        <v>30</v>
      </c>
      <c r="G1139" s="44">
        <v>46078</v>
      </c>
      <c r="H1139" s="45" t="e">
        <f t="shared" si="5"/>
        <v>#N/A</v>
      </c>
      <c r="I1139" s="46">
        <v>45938.71534722222</v>
      </c>
    </row>
    <row r="1140" spans="1:9">
      <c r="A1140" s="40" t="s">
        <v>799</v>
      </c>
      <c r="B1140" s="40" t="s">
        <v>800</v>
      </c>
      <c r="C1140" s="41">
        <v>45693</v>
      </c>
      <c r="D1140" s="42" t="s">
        <v>559</v>
      </c>
      <c r="E1140" s="42" t="s">
        <v>411</v>
      </c>
      <c r="F1140" s="47">
        <v>30</v>
      </c>
      <c r="G1140" s="44">
        <v>46047</v>
      </c>
      <c r="H1140" s="45" t="e">
        <f t="shared" si="5"/>
        <v>#N/A</v>
      </c>
      <c r="I1140" s="46">
        <v>45933.439733796295</v>
      </c>
    </row>
    <row r="1141" spans="1:9">
      <c r="A1141" s="40" t="s">
        <v>802</v>
      </c>
      <c r="B1141" s="40" t="s">
        <v>803</v>
      </c>
      <c r="C1141" s="41">
        <v>46117</v>
      </c>
      <c r="D1141" s="42" t="s">
        <v>490</v>
      </c>
      <c r="E1141" s="42" t="s">
        <v>411</v>
      </c>
      <c r="F1141" s="47"/>
      <c r="G1141" s="44">
        <v>46107</v>
      </c>
      <c r="H1141" s="45" t="e">
        <f t="shared" si="5"/>
        <v>#N/A</v>
      </c>
      <c r="I1141" s="46"/>
    </row>
    <row r="1142" spans="1:9">
      <c r="A1142" s="40" t="s">
        <v>802</v>
      </c>
      <c r="B1142" s="40" t="s">
        <v>803</v>
      </c>
      <c r="C1142" s="41">
        <v>46086</v>
      </c>
      <c r="D1142" s="42" t="s">
        <v>490</v>
      </c>
      <c r="E1142" s="42" t="s">
        <v>411</v>
      </c>
      <c r="F1142" s="47"/>
      <c r="G1142" s="44">
        <v>46079</v>
      </c>
      <c r="H1142" s="45" t="e">
        <f t="shared" si="5"/>
        <v>#N/A</v>
      </c>
      <c r="I1142" s="46"/>
    </row>
    <row r="1143" spans="1:9">
      <c r="A1143" s="40" t="s">
        <v>802</v>
      </c>
      <c r="B1143" s="40" t="s">
        <v>803</v>
      </c>
      <c r="C1143" s="41">
        <v>46058</v>
      </c>
      <c r="D1143" s="42" t="s">
        <v>490</v>
      </c>
      <c r="E1143" s="42" t="s">
        <v>411</v>
      </c>
      <c r="F1143" s="47">
        <v>2</v>
      </c>
      <c r="G1143" s="44">
        <v>46048</v>
      </c>
      <c r="H1143" s="45" t="e">
        <f t="shared" si="5"/>
        <v>#N/A</v>
      </c>
      <c r="I1143" s="46">
        <v>46059.627395833333</v>
      </c>
    </row>
    <row r="1144" spans="1:9">
      <c r="A1144" s="40" t="s">
        <v>802</v>
      </c>
      <c r="B1144" s="40" t="s">
        <v>803</v>
      </c>
      <c r="C1144" s="41">
        <v>46027</v>
      </c>
      <c r="D1144" s="42" t="s">
        <v>490</v>
      </c>
      <c r="E1144" s="42" t="s">
        <v>411</v>
      </c>
      <c r="F1144" s="47">
        <v>4</v>
      </c>
      <c r="G1144" s="44">
        <v>46381</v>
      </c>
      <c r="H1144" s="45" t="e">
        <f t="shared" si="5"/>
        <v>#N/A</v>
      </c>
      <c r="I1144" s="46">
        <v>46059.627905092595</v>
      </c>
    </row>
    <row r="1145" spans="1:9">
      <c r="A1145" s="40" t="s">
        <v>802</v>
      </c>
      <c r="B1145" s="40" t="s">
        <v>803</v>
      </c>
      <c r="C1145" s="41">
        <v>45996</v>
      </c>
      <c r="D1145" s="42" t="s">
        <v>490</v>
      </c>
      <c r="E1145" s="42" t="s">
        <v>411</v>
      </c>
      <c r="F1145" s="47">
        <v>2</v>
      </c>
      <c r="G1145" s="44">
        <v>46351</v>
      </c>
      <c r="H1145" s="45" t="e">
        <f t="shared" si="5"/>
        <v>#N/A</v>
      </c>
      <c r="I1145" s="46">
        <v>46059.628125000003</v>
      </c>
    </row>
    <row r="1146" spans="1:9">
      <c r="A1146" s="40" t="s">
        <v>802</v>
      </c>
      <c r="B1146" s="40" t="s">
        <v>803</v>
      </c>
      <c r="C1146" s="41">
        <v>45966</v>
      </c>
      <c r="D1146" s="42" t="s">
        <v>490</v>
      </c>
      <c r="E1146" s="42" t="s">
        <v>411</v>
      </c>
      <c r="F1146" s="47">
        <v>6</v>
      </c>
      <c r="G1146" s="44">
        <v>46320</v>
      </c>
      <c r="H1146" s="45" t="e">
        <f t="shared" si="5"/>
        <v>#N/A</v>
      </c>
      <c r="I1146" s="46">
        <v>46059.628321759257</v>
      </c>
    </row>
    <row r="1147" spans="1:9">
      <c r="A1147" s="40" t="s">
        <v>802</v>
      </c>
      <c r="B1147" s="40" t="s">
        <v>803</v>
      </c>
      <c r="C1147" s="41">
        <v>45935</v>
      </c>
      <c r="D1147" s="42" t="s">
        <v>490</v>
      </c>
      <c r="E1147" s="42" t="s">
        <v>411</v>
      </c>
      <c r="F1147" s="47">
        <v>8</v>
      </c>
      <c r="G1147" s="44">
        <v>46290</v>
      </c>
      <c r="H1147" s="45" t="e">
        <f t="shared" si="5"/>
        <v>#N/A</v>
      </c>
      <c r="I1147" s="46">
        <v>46059.628530092596</v>
      </c>
    </row>
    <row r="1148" spans="1:9">
      <c r="A1148" s="40" t="s">
        <v>802</v>
      </c>
      <c r="B1148" s="40" t="s">
        <v>803</v>
      </c>
      <c r="C1148" s="41">
        <v>45905</v>
      </c>
      <c r="D1148" s="42" t="s">
        <v>490</v>
      </c>
      <c r="E1148" s="42" t="s">
        <v>411</v>
      </c>
      <c r="F1148" s="47">
        <v>2</v>
      </c>
      <c r="G1148" s="44">
        <v>46259</v>
      </c>
      <c r="H1148" s="45" t="e">
        <f t="shared" si="5"/>
        <v>#N/A</v>
      </c>
      <c r="I1148" s="46">
        <v>46059.628946759258</v>
      </c>
    </row>
    <row r="1149" spans="1:9">
      <c r="A1149" s="40" t="s">
        <v>802</v>
      </c>
      <c r="B1149" s="40" t="s">
        <v>803</v>
      </c>
      <c r="C1149" s="41">
        <v>45874</v>
      </c>
      <c r="D1149" s="42" t="s">
        <v>490</v>
      </c>
      <c r="E1149" s="42" t="s">
        <v>411</v>
      </c>
      <c r="F1149" s="47">
        <v>1</v>
      </c>
      <c r="G1149" s="44">
        <v>46228</v>
      </c>
      <c r="H1149" s="45" t="e">
        <f t="shared" si="5"/>
        <v>#N/A</v>
      </c>
      <c r="I1149" s="46">
        <v>46059.647743055553</v>
      </c>
    </row>
    <row r="1150" spans="1:9">
      <c r="A1150" s="40" t="s">
        <v>804</v>
      </c>
      <c r="B1150" s="40" t="s">
        <v>805</v>
      </c>
      <c r="C1150" s="41">
        <v>46117</v>
      </c>
      <c r="D1150" s="42" t="s">
        <v>490</v>
      </c>
      <c r="E1150" s="42" t="s">
        <v>411</v>
      </c>
      <c r="F1150" s="47"/>
      <c r="G1150" s="44">
        <v>46107</v>
      </c>
      <c r="H1150" s="45" t="e">
        <f t="shared" si="5"/>
        <v>#N/A</v>
      </c>
      <c r="I1150" s="46"/>
    </row>
    <row r="1151" spans="1:9">
      <c r="A1151" s="40" t="s">
        <v>804</v>
      </c>
      <c r="B1151" s="40" t="s">
        <v>805</v>
      </c>
      <c r="C1151" s="41">
        <v>46086</v>
      </c>
      <c r="D1151" s="42" t="s">
        <v>490</v>
      </c>
      <c r="E1151" s="42" t="s">
        <v>411</v>
      </c>
      <c r="F1151" s="43"/>
      <c r="G1151" s="44">
        <v>46079</v>
      </c>
      <c r="H1151" s="45" t="e">
        <f t="shared" si="5"/>
        <v>#N/A</v>
      </c>
      <c r="I1151" s="46"/>
    </row>
    <row r="1152" spans="1:9">
      <c r="A1152" s="40" t="s">
        <v>806</v>
      </c>
      <c r="B1152" s="40" t="s">
        <v>807</v>
      </c>
      <c r="C1152" s="41">
        <v>46117</v>
      </c>
      <c r="D1152" s="42" t="s">
        <v>490</v>
      </c>
      <c r="E1152" s="42" t="s">
        <v>411</v>
      </c>
      <c r="F1152" s="43"/>
      <c r="G1152" s="44">
        <v>46107</v>
      </c>
      <c r="H1152" s="45" t="e">
        <f t="shared" si="5"/>
        <v>#N/A</v>
      </c>
      <c r="I1152" s="43"/>
    </row>
    <row r="1153" spans="1:10">
      <c r="A1153" s="40" t="s">
        <v>806</v>
      </c>
      <c r="B1153" s="40" t="s">
        <v>807</v>
      </c>
      <c r="C1153" s="41">
        <v>46086</v>
      </c>
      <c r="D1153" s="42" t="s">
        <v>490</v>
      </c>
      <c r="E1153" s="42" t="s">
        <v>411</v>
      </c>
      <c r="F1153" s="47"/>
      <c r="G1153" s="44">
        <v>46079</v>
      </c>
      <c r="H1153" s="45" t="e">
        <f t="shared" si="5"/>
        <v>#N/A</v>
      </c>
      <c r="I1153" s="46"/>
    </row>
    <row r="1154" spans="1:10">
      <c r="A1154" s="40" t="s">
        <v>808</v>
      </c>
      <c r="B1154" s="40" t="s">
        <v>809</v>
      </c>
      <c r="C1154" s="41">
        <v>46117</v>
      </c>
      <c r="D1154" s="42" t="s">
        <v>559</v>
      </c>
      <c r="E1154" s="42" t="s">
        <v>411</v>
      </c>
      <c r="F1154" s="47"/>
      <c r="G1154" s="44">
        <v>46107</v>
      </c>
      <c r="H1154" s="45" t="e">
        <f t="shared" si="5"/>
        <v>#N/A</v>
      </c>
      <c r="I1154" s="46"/>
    </row>
    <row r="1155" spans="1:10">
      <c r="A1155" s="40" t="s">
        <v>808</v>
      </c>
      <c r="B1155" s="40" t="s">
        <v>809</v>
      </c>
      <c r="C1155" s="41">
        <v>46086</v>
      </c>
      <c r="D1155" s="42" t="s">
        <v>559</v>
      </c>
      <c r="E1155" s="42" t="s">
        <v>411</v>
      </c>
      <c r="F1155" s="47"/>
      <c r="G1155" s="44">
        <v>46079</v>
      </c>
      <c r="H1155" s="45" t="e">
        <f t="shared" si="5"/>
        <v>#N/A</v>
      </c>
      <c r="I1155" s="46"/>
    </row>
    <row r="1156" spans="1:10">
      <c r="A1156" s="40" t="s">
        <v>808</v>
      </c>
      <c r="B1156" s="40" t="s">
        <v>809</v>
      </c>
      <c r="C1156" s="41">
        <v>46058</v>
      </c>
      <c r="D1156" s="42" t="s">
        <v>559</v>
      </c>
      <c r="E1156" s="42" t="s">
        <v>411</v>
      </c>
      <c r="F1156" s="47">
        <v>2</v>
      </c>
      <c r="G1156" s="44">
        <v>46048</v>
      </c>
      <c r="H1156" s="45" t="e">
        <f t="shared" si="5"/>
        <v>#N/A</v>
      </c>
      <c r="I1156" s="46">
        <v>46056.392766203702</v>
      </c>
      <c r="J1156" s="40" t="s">
        <v>810</v>
      </c>
    </row>
    <row r="1157" spans="1:10">
      <c r="A1157" s="40" t="s">
        <v>808</v>
      </c>
      <c r="B1157" s="40" t="s">
        <v>809</v>
      </c>
      <c r="C1157" s="41">
        <v>46027</v>
      </c>
      <c r="D1157" s="42" t="s">
        <v>559</v>
      </c>
      <c r="E1157" s="42" t="s">
        <v>411</v>
      </c>
      <c r="F1157" s="47">
        <v>3</v>
      </c>
      <c r="G1157" s="44">
        <v>46381</v>
      </c>
      <c r="H1157" s="45" t="e">
        <f t="shared" si="5"/>
        <v>#N/A</v>
      </c>
      <c r="I1157" s="46">
        <v>46028.475555555553</v>
      </c>
      <c r="J1157" s="40" t="s">
        <v>811</v>
      </c>
    </row>
    <row r="1158" spans="1:10">
      <c r="A1158" s="40" t="s">
        <v>808</v>
      </c>
      <c r="B1158" s="40" t="s">
        <v>809</v>
      </c>
      <c r="C1158" s="41">
        <v>45996</v>
      </c>
      <c r="D1158" s="42" t="s">
        <v>559</v>
      </c>
      <c r="E1158" s="42" t="s">
        <v>411</v>
      </c>
      <c r="F1158" s="47">
        <v>1</v>
      </c>
      <c r="G1158" s="44">
        <v>46351</v>
      </c>
      <c r="H1158" s="45" t="e">
        <f t="shared" si="5"/>
        <v>#N/A</v>
      </c>
      <c r="I1158" s="46">
        <v>45999.39203703704</v>
      </c>
      <c r="J1158" s="40" t="s">
        <v>812</v>
      </c>
    </row>
    <row r="1159" spans="1:10">
      <c r="A1159" s="40" t="s">
        <v>808</v>
      </c>
      <c r="B1159" s="40" t="s">
        <v>809</v>
      </c>
      <c r="C1159" s="41">
        <v>45966</v>
      </c>
      <c r="D1159" s="42" t="s">
        <v>559</v>
      </c>
      <c r="E1159" s="42" t="s">
        <v>411</v>
      </c>
      <c r="F1159" s="47">
        <v>1</v>
      </c>
      <c r="G1159" s="44">
        <v>46320</v>
      </c>
      <c r="H1159" s="45" t="e">
        <f t="shared" si="5"/>
        <v>#N/A</v>
      </c>
      <c r="I1159" s="46">
        <v>45965.638495370367</v>
      </c>
    </row>
    <row r="1160" spans="1:10">
      <c r="A1160" s="40" t="s">
        <v>808</v>
      </c>
      <c r="B1160" s="40" t="s">
        <v>809</v>
      </c>
      <c r="C1160" s="41">
        <v>45935</v>
      </c>
      <c r="D1160" s="42" t="s">
        <v>559</v>
      </c>
      <c r="E1160" s="42" t="s">
        <v>411</v>
      </c>
      <c r="F1160" s="47">
        <v>1</v>
      </c>
      <c r="G1160" s="44">
        <v>46290</v>
      </c>
      <c r="H1160" s="45" t="e">
        <f t="shared" si="5"/>
        <v>#N/A</v>
      </c>
      <c r="I1160" s="46">
        <v>45939.395729166667</v>
      </c>
      <c r="J1160" s="40" t="s">
        <v>813</v>
      </c>
    </row>
    <row r="1161" spans="1:10">
      <c r="A1161" s="40" t="s">
        <v>808</v>
      </c>
      <c r="B1161" s="40" t="s">
        <v>809</v>
      </c>
      <c r="C1161" s="41">
        <v>45905</v>
      </c>
      <c r="D1161" s="42" t="s">
        <v>559</v>
      </c>
      <c r="E1161" s="42" t="s">
        <v>411</v>
      </c>
      <c r="F1161" s="47">
        <v>1</v>
      </c>
      <c r="G1161" s="44">
        <v>46259</v>
      </c>
      <c r="H1161" s="45" t="e">
        <f t="shared" si="5"/>
        <v>#N/A</v>
      </c>
      <c r="I1161" s="46">
        <v>45939.394756944443</v>
      </c>
      <c r="J1161" s="40" t="s">
        <v>814</v>
      </c>
    </row>
    <row r="1162" spans="1:10">
      <c r="A1162" s="40" t="s">
        <v>808</v>
      </c>
      <c r="B1162" s="40" t="s">
        <v>809</v>
      </c>
      <c r="C1162" s="41">
        <v>45874</v>
      </c>
      <c r="D1162" s="42" t="s">
        <v>559</v>
      </c>
      <c r="E1162" s="42" t="s">
        <v>411</v>
      </c>
      <c r="F1162" s="47">
        <v>1</v>
      </c>
      <c r="G1162" s="44">
        <v>46228</v>
      </c>
      <c r="H1162" s="45" t="e">
        <f t="shared" si="5"/>
        <v>#N/A</v>
      </c>
      <c r="I1162" s="46">
        <v>45939.394456018519</v>
      </c>
      <c r="J1162" s="40" t="s">
        <v>815</v>
      </c>
    </row>
    <row r="1163" spans="1:10">
      <c r="A1163" s="40" t="s">
        <v>808</v>
      </c>
      <c r="B1163" s="40" t="s">
        <v>809</v>
      </c>
      <c r="C1163" s="41">
        <v>45843</v>
      </c>
      <c r="D1163" s="42" t="s">
        <v>559</v>
      </c>
      <c r="E1163" s="42" t="s">
        <v>411</v>
      </c>
      <c r="F1163" s="47">
        <v>1</v>
      </c>
      <c r="G1163" s="44">
        <v>46198</v>
      </c>
      <c r="H1163" s="45" t="e">
        <f t="shared" si="5"/>
        <v>#N/A</v>
      </c>
      <c r="I1163" s="46">
        <v>45939.394259259258</v>
      </c>
      <c r="J1163" s="40" t="s">
        <v>816</v>
      </c>
    </row>
    <row r="1164" spans="1:10">
      <c r="A1164" s="40" t="s">
        <v>808</v>
      </c>
      <c r="B1164" s="40" t="s">
        <v>809</v>
      </c>
      <c r="C1164" s="41">
        <v>45813</v>
      </c>
      <c r="D1164" s="42" t="s">
        <v>559</v>
      </c>
      <c r="E1164" s="42" t="s">
        <v>411</v>
      </c>
      <c r="F1164" s="47">
        <v>1</v>
      </c>
      <c r="G1164" s="44">
        <v>46167</v>
      </c>
      <c r="H1164" s="45" t="e">
        <f t="shared" si="5"/>
        <v>#N/A</v>
      </c>
      <c r="I1164" s="46">
        <v>45939.393946759257</v>
      </c>
      <c r="J1164" s="40" t="s">
        <v>817</v>
      </c>
    </row>
    <row r="1165" spans="1:10">
      <c r="A1165" s="40" t="s">
        <v>808</v>
      </c>
      <c r="B1165" s="40" t="s">
        <v>809</v>
      </c>
      <c r="C1165" s="41">
        <v>45782</v>
      </c>
      <c r="D1165" s="42" t="s">
        <v>559</v>
      </c>
      <c r="E1165" s="42" t="s">
        <v>411</v>
      </c>
      <c r="F1165" s="47">
        <v>1</v>
      </c>
      <c r="G1165" s="44">
        <v>46137</v>
      </c>
      <c r="H1165" s="45" t="e">
        <f t="shared" si="5"/>
        <v>#N/A</v>
      </c>
      <c r="I1165" s="46">
        <v>45939.393796296295</v>
      </c>
      <c r="J1165" s="40" t="s">
        <v>818</v>
      </c>
    </row>
    <row r="1166" spans="1:10">
      <c r="A1166" s="40" t="s">
        <v>808</v>
      </c>
      <c r="B1166" s="40" t="s">
        <v>809</v>
      </c>
      <c r="C1166" s="41">
        <v>45752</v>
      </c>
      <c r="D1166" s="42" t="s">
        <v>559</v>
      </c>
      <c r="E1166" s="42" t="s">
        <v>411</v>
      </c>
      <c r="F1166" s="47">
        <v>0</v>
      </c>
      <c r="G1166" s="44">
        <v>46106</v>
      </c>
      <c r="H1166" s="45" t="e">
        <f t="shared" si="5"/>
        <v>#N/A</v>
      </c>
      <c r="I1166" s="46">
        <v>45939.39329861111</v>
      </c>
    </row>
    <row r="1167" spans="1:10">
      <c r="A1167" s="40" t="s">
        <v>808</v>
      </c>
      <c r="B1167" s="40" t="s">
        <v>809</v>
      </c>
      <c r="C1167" s="41">
        <v>45721</v>
      </c>
      <c r="D1167" s="42" t="s">
        <v>559</v>
      </c>
      <c r="E1167" s="42" t="s">
        <v>411</v>
      </c>
      <c r="F1167" s="47">
        <v>0</v>
      </c>
      <c r="G1167" s="44">
        <v>46078</v>
      </c>
      <c r="H1167" s="45" t="e">
        <f t="shared" si="5"/>
        <v>#N/A</v>
      </c>
      <c r="I1167" s="46">
        <v>45939.393263888887</v>
      </c>
    </row>
    <row r="1168" spans="1:10">
      <c r="A1168" s="40" t="s">
        <v>808</v>
      </c>
      <c r="B1168" s="40" t="s">
        <v>809</v>
      </c>
      <c r="C1168" s="41">
        <v>45693</v>
      </c>
      <c r="D1168" s="42" t="s">
        <v>559</v>
      </c>
      <c r="E1168" s="42" t="s">
        <v>411</v>
      </c>
      <c r="F1168" s="47">
        <v>0</v>
      </c>
      <c r="G1168" s="44">
        <v>46047</v>
      </c>
      <c r="H1168" s="45" t="e">
        <f t="shared" si="5"/>
        <v>#N/A</v>
      </c>
      <c r="I1168" s="46">
        <v>45939.393217592595</v>
      </c>
    </row>
    <row r="1169" spans="3:9">
      <c r="C1169" s="41"/>
      <c r="D1169" s="42"/>
      <c r="E1169" s="42"/>
      <c r="F1169" s="47"/>
      <c r="G1169" s="44"/>
      <c r="H1169" s="45"/>
      <c r="I1169" s="46"/>
    </row>
    <row r="1170" spans="3:9">
      <c r="C1170" s="41"/>
      <c r="D1170" s="42"/>
      <c r="E1170" s="42"/>
      <c r="F1170" s="47"/>
      <c r="G1170" s="44"/>
      <c r="H1170" s="45"/>
      <c r="I1170" s="46"/>
    </row>
    <row r="1171" spans="3:9">
      <c r="C1171" s="41"/>
      <c r="D1171" s="42"/>
      <c r="E1171" s="42"/>
      <c r="F1171" s="43"/>
      <c r="G1171" s="44"/>
      <c r="H1171" s="45"/>
      <c r="I1171" s="46"/>
    </row>
    <row r="1172" spans="3:9">
      <c r="C1172" s="41"/>
      <c r="D1172" s="42"/>
      <c r="E1172" s="42"/>
      <c r="F1172" s="43"/>
      <c r="G1172" s="44"/>
      <c r="H1172" s="45"/>
      <c r="I1172" s="43"/>
    </row>
    <row r="1173" spans="3:9">
      <c r="C1173" s="41"/>
      <c r="D1173" s="42"/>
      <c r="E1173" s="42"/>
      <c r="F1173" s="47"/>
      <c r="G1173" s="44"/>
      <c r="H1173" s="45"/>
      <c r="I1173" s="46"/>
    </row>
    <row r="1174" spans="3:9">
      <c r="C1174" s="41"/>
      <c r="D1174" s="42"/>
      <c r="E1174" s="42"/>
      <c r="F1174" s="47"/>
      <c r="G1174" s="44"/>
      <c r="H1174" s="45"/>
      <c r="I1174" s="46"/>
    </row>
    <row r="1175" spans="3:9">
      <c r="C1175" s="41"/>
      <c r="D1175" s="42"/>
      <c r="E1175" s="42"/>
      <c r="F1175" s="47"/>
      <c r="G1175" s="44"/>
      <c r="H1175" s="45"/>
      <c r="I1175" s="46"/>
    </row>
    <row r="1176" spans="3:9">
      <c r="C1176" s="41"/>
      <c r="D1176" s="42"/>
      <c r="E1176" s="42"/>
      <c r="F1176" s="47"/>
      <c r="G1176" s="44"/>
      <c r="H1176" s="45"/>
      <c r="I1176" s="46"/>
    </row>
    <row r="1177" spans="3:9">
      <c r="C1177" s="41"/>
      <c r="D1177" s="42"/>
      <c r="E1177" s="42"/>
      <c r="F1177" s="47"/>
      <c r="G1177" s="44"/>
      <c r="H1177" s="45"/>
      <c r="I1177" s="46"/>
    </row>
    <row r="1178" spans="3:9">
      <c r="C1178" s="41"/>
      <c r="D1178" s="42"/>
      <c r="E1178" s="42"/>
      <c r="F1178" s="47"/>
      <c r="G1178" s="44"/>
      <c r="H1178" s="45"/>
      <c r="I1178" s="46"/>
    </row>
    <row r="1179" spans="3:9">
      <c r="C1179" s="41"/>
      <c r="D1179" s="42"/>
      <c r="E1179" s="42"/>
      <c r="F1179" s="47"/>
      <c r="G1179" s="44"/>
      <c r="H1179" s="45"/>
      <c r="I1179" s="46"/>
    </row>
    <row r="1180" spans="3:9">
      <c r="C1180" s="41"/>
      <c r="D1180" s="42"/>
      <c r="E1180" s="42"/>
      <c r="F1180" s="43"/>
      <c r="G1180" s="44"/>
      <c r="H1180" s="45"/>
      <c r="I1180" s="43"/>
    </row>
    <row r="1181" spans="3:9">
      <c r="C1181" s="41"/>
      <c r="D1181" s="42"/>
      <c r="E1181" s="42"/>
      <c r="F1181" s="43"/>
      <c r="G1181" s="44"/>
      <c r="H1181" s="45"/>
      <c r="I1181" s="43"/>
    </row>
    <row r="1182" spans="3:9">
      <c r="C1182" s="41"/>
      <c r="D1182" s="42"/>
      <c r="E1182" s="42"/>
      <c r="F1182" s="43"/>
      <c r="G1182" s="44"/>
      <c r="H1182" s="45"/>
      <c r="I1182" s="43"/>
    </row>
    <row r="1183" spans="3:9">
      <c r="C1183" s="41"/>
      <c r="D1183" s="42"/>
      <c r="E1183" s="42"/>
      <c r="F1183" s="43"/>
      <c r="G1183" s="44"/>
      <c r="H1183" s="45"/>
      <c r="I1183" s="43"/>
    </row>
    <row r="1184" spans="3:9">
      <c r="C1184" s="41"/>
      <c r="D1184" s="42"/>
      <c r="E1184" s="42"/>
      <c r="F1184" s="43"/>
      <c r="G1184" s="44"/>
      <c r="H1184" s="45"/>
      <c r="I1184" s="46"/>
    </row>
    <row r="1185" spans="3:9">
      <c r="C1185" s="41"/>
      <c r="D1185" s="42"/>
      <c r="E1185" s="42"/>
      <c r="F1185" s="43"/>
      <c r="G1185" s="44"/>
      <c r="H1185" s="45"/>
      <c r="I1185" s="43"/>
    </row>
    <row r="1186" spans="3:9">
      <c r="C1186" s="41"/>
      <c r="D1186" s="42"/>
      <c r="E1186" s="42"/>
      <c r="F1186" s="47"/>
      <c r="G1186" s="44"/>
      <c r="H1186" s="45"/>
      <c r="I1186" s="46"/>
    </row>
    <row r="1187" spans="3:9">
      <c r="C1187" s="41"/>
      <c r="D1187" s="42"/>
      <c r="E1187" s="42"/>
      <c r="F1187" s="47"/>
      <c r="G1187" s="44"/>
      <c r="H1187" s="45"/>
      <c r="I1187" s="46"/>
    </row>
    <row r="1188" spans="3:9">
      <c r="C1188" s="41"/>
      <c r="D1188" s="42"/>
      <c r="E1188" s="42"/>
      <c r="F1188" s="47"/>
      <c r="G1188" s="44"/>
      <c r="H1188" s="45"/>
      <c r="I1188" s="46"/>
    </row>
    <row r="1189" spans="3:9">
      <c r="C1189" s="41"/>
      <c r="D1189" s="42"/>
      <c r="E1189" s="42"/>
      <c r="F1189" s="47"/>
      <c r="G1189" s="44"/>
      <c r="H1189" s="45"/>
      <c r="I1189" s="46"/>
    </row>
    <row r="1190" spans="3:9">
      <c r="C1190" s="41"/>
      <c r="D1190" s="42"/>
      <c r="E1190" s="42"/>
      <c r="F1190" s="47"/>
      <c r="G1190" s="44"/>
      <c r="H1190" s="45"/>
      <c r="I1190" s="46"/>
    </row>
    <row r="1191" spans="3:9">
      <c r="C1191" s="41"/>
      <c r="D1191" s="42"/>
      <c r="E1191" s="42"/>
      <c r="F1191" s="47"/>
      <c r="G1191" s="44"/>
      <c r="H1191" s="45"/>
      <c r="I1191" s="46"/>
    </row>
    <row r="1192" spans="3:9">
      <c r="C1192" s="41"/>
      <c r="D1192" s="42"/>
      <c r="E1192" s="42"/>
      <c r="F1192" s="47"/>
      <c r="G1192" s="44"/>
      <c r="H1192" s="45"/>
      <c r="I1192" s="46"/>
    </row>
    <row r="1193" spans="3:9">
      <c r="C1193" s="41"/>
      <c r="D1193" s="42"/>
      <c r="E1193" s="42"/>
      <c r="F1193" s="47"/>
      <c r="G1193" s="44"/>
      <c r="H1193" s="45"/>
      <c r="I1193" s="46"/>
    </row>
    <row r="1194" spans="3:9">
      <c r="C1194" s="41"/>
      <c r="D1194" s="42"/>
      <c r="E1194" s="42"/>
      <c r="F1194" s="47"/>
      <c r="G1194" s="44"/>
      <c r="H1194" s="45"/>
      <c r="I1194" s="46"/>
    </row>
    <row r="1195" spans="3:9">
      <c r="C1195" s="41"/>
      <c r="D1195" s="42"/>
      <c r="E1195" s="42"/>
      <c r="F1195" s="47"/>
      <c r="G1195" s="44"/>
      <c r="H1195" s="45"/>
      <c r="I1195" s="46"/>
    </row>
    <row r="1196" spans="3:9">
      <c r="C1196" s="41"/>
      <c r="D1196" s="42"/>
      <c r="E1196" s="42"/>
      <c r="F1196" s="47"/>
      <c r="G1196" s="44"/>
      <c r="H1196" s="45"/>
      <c r="I1196" s="46"/>
    </row>
    <row r="1197" spans="3:9">
      <c r="C1197" s="41"/>
      <c r="D1197" s="42"/>
      <c r="E1197" s="42"/>
      <c r="F1197" s="47"/>
      <c r="G1197" s="44"/>
      <c r="H1197" s="45"/>
      <c r="I1197" s="46"/>
    </row>
    <row r="1198" spans="3:9">
      <c r="C1198" s="41"/>
      <c r="D1198" s="42"/>
      <c r="E1198" s="42"/>
      <c r="F1198" s="47"/>
      <c r="G1198" s="44"/>
      <c r="H1198" s="45"/>
      <c r="I1198" s="46"/>
    </row>
    <row r="1199" spans="3:9">
      <c r="C1199" s="50"/>
      <c r="D1199" s="43"/>
      <c r="E1199" s="43"/>
      <c r="F1199" s="43"/>
      <c r="G1199" s="43"/>
      <c r="H1199" s="51"/>
      <c r="I1199" s="43"/>
    </row>
    <row r="1200" spans="3:9">
      <c r="C1200" s="50"/>
      <c r="D1200" s="43"/>
      <c r="E1200" s="43"/>
      <c r="F1200" s="43"/>
      <c r="G1200" s="43"/>
      <c r="H1200" s="51"/>
      <c r="I1200" s="43"/>
    </row>
    <row r="1201" spans="3:9">
      <c r="C1201" s="50"/>
      <c r="D1201" s="43"/>
      <c r="E1201" s="43"/>
      <c r="F1201" s="43"/>
      <c r="G1201" s="43"/>
      <c r="H1201" s="51"/>
      <c r="I1201" s="43"/>
    </row>
    <row r="1202" spans="3:9">
      <c r="C1202" s="50"/>
      <c r="D1202" s="43"/>
      <c r="E1202" s="43"/>
      <c r="F1202" s="43"/>
      <c r="G1202" s="43"/>
      <c r="H1202" s="51"/>
      <c r="I1202" s="4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46"/>
  <sheetViews>
    <sheetView workbookViewId="0"/>
  </sheetViews>
  <sheetFormatPr defaultColWidth="12.5703125" defaultRowHeight="15.75" customHeight="1"/>
  <cols>
    <col min="1" max="1" width="18.140625" customWidth="1"/>
    <col min="2" max="2" width="32.5703125" customWidth="1"/>
    <col min="5" max="5" width="12" customWidth="1"/>
    <col min="6" max="6" width="16.28515625" customWidth="1"/>
    <col min="7" max="7" width="15.7109375" customWidth="1"/>
    <col min="8" max="8" width="17.5703125" customWidth="1"/>
    <col min="9" max="9" width="32.28515625" customWidth="1"/>
    <col min="10" max="10" width="36.42578125" customWidth="1"/>
  </cols>
  <sheetData>
    <row r="1" spans="1:10">
      <c r="A1" s="37" t="s">
        <v>399</v>
      </c>
      <c r="B1" s="37" t="s">
        <v>5</v>
      </c>
      <c r="C1" s="38" t="s">
        <v>400</v>
      </c>
      <c r="D1" s="37" t="s">
        <v>401</v>
      </c>
      <c r="E1" s="39" t="s">
        <v>402</v>
      </c>
      <c r="F1" s="37" t="s">
        <v>403</v>
      </c>
      <c r="G1" s="39" t="s">
        <v>404</v>
      </c>
      <c r="H1" s="39" t="s">
        <v>405</v>
      </c>
      <c r="I1" s="37" t="s">
        <v>406</v>
      </c>
      <c r="J1" s="37" t="s">
        <v>407</v>
      </c>
    </row>
    <row r="2" spans="1:10">
      <c r="A2" s="40" t="s">
        <v>819</v>
      </c>
      <c r="B2" s="40" t="s">
        <v>820</v>
      </c>
      <c r="C2" s="52">
        <v>46091</v>
      </c>
      <c r="D2" s="40" t="s">
        <v>410</v>
      </c>
      <c r="E2" s="40" t="s">
        <v>821</v>
      </c>
      <c r="G2" s="42" t="s">
        <v>822</v>
      </c>
    </row>
    <row r="3" spans="1:10">
      <c r="A3" s="40" t="s">
        <v>819</v>
      </c>
      <c r="B3" s="40" t="s">
        <v>820</v>
      </c>
      <c r="C3" s="52">
        <v>46084</v>
      </c>
      <c r="D3" s="40" t="s">
        <v>410</v>
      </c>
      <c r="E3" s="40" t="s">
        <v>821</v>
      </c>
      <c r="G3" s="42" t="s">
        <v>823</v>
      </c>
    </row>
    <row r="4" spans="1:10">
      <c r="A4" s="40" t="s">
        <v>819</v>
      </c>
      <c r="B4" s="40" t="s">
        <v>820</v>
      </c>
      <c r="C4" s="52">
        <v>46077</v>
      </c>
      <c r="D4" s="40" t="s">
        <v>410</v>
      </c>
      <c r="E4" s="40" t="s">
        <v>821</v>
      </c>
      <c r="G4" s="42" t="s">
        <v>824</v>
      </c>
    </row>
    <row r="5" spans="1:10">
      <c r="A5" s="40" t="s">
        <v>819</v>
      </c>
      <c r="B5" s="40" t="s">
        <v>820</v>
      </c>
      <c r="C5" s="52">
        <v>46070</v>
      </c>
      <c r="D5" s="40" t="s">
        <v>410</v>
      </c>
      <c r="E5" s="40" t="s">
        <v>821</v>
      </c>
      <c r="G5" s="42" t="s">
        <v>825</v>
      </c>
    </row>
    <row r="6" spans="1:10">
      <c r="A6" s="40" t="s">
        <v>819</v>
      </c>
      <c r="B6" s="40" t="s">
        <v>820</v>
      </c>
      <c r="C6" s="52">
        <v>46063</v>
      </c>
      <c r="D6" s="40" t="s">
        <v>410</v>
      </c>
      <c r="E6" s="40" t="s">
        <v>821</v>
      </c>
      <c r="G6" s="42" t="s">
        <v>826</v>
      </c>
    </row>
    <row r="7" spans="1:10">
      <c r="A7" s="40" t="s">
        <v>819</v>
      </c>
      <c r="B7" s="40" t="s">
        <v>820</v>
      </c>
      <c r="C7" s="52">
        <v>46056</v>
      </c>
      <c r="D7" s="40" t="s">
        <v>410</v>
      </c>
      <c r="E7" s="40" t="s">
        <v>821</v>
      </c>
      <c r="G7" s="42" t="s">
        <v>827</v>
      </c>
    </row>
    <row r="8" spans="1:10">
      <c r="A8" s="40" t="s">
        <v>819</v>
      </c>
      <c r="B8" s="40" t="s">
        <v>820</v>
      </c>
      <c r="C8" s="52">
        <v>46049</v>
      </c>
      <c r="D8" s="40" t="s">
        <v>410</v>
      </c>
      <c r="E8" s="40" t="s">
        <v>821</v>
      </c>
      <c r="G8" s="42" t="s">
        <v>828</v>
      </c>
    </row>
    <row r="9" spans="1:10">
      <c r="A9" s="40" t="s">
        <v>819</v>
      </c>
      <c r="B9" s="40" t="s">
        <v>820</v>
      </c>
      <c r="C9" s="52">
        <v>46042</v>
      </c>
      <c r="D9" s="40" t="s">
        <v>410</v>
      </c>
      <c r="E9" s="40" t="s">
        <v>821</v>
      </c>
      <c r="G9" s="42" t="s">
        <v>829</v>
      </c>
    </row>
    <row r="10" spans="1:10">
      <c r="A10" s="40" t="s">
        <v>819</v>
      </c>
      <c r="B10" s="40" t="s">
        <v>820</v>
      </c>
      <c r="C10" s="52">
        <v>46035</v>
      </c>
      <c r="D10" s="40" t="s">
        <v>410</v>
      </c>
      <c r="E10" s="40" t="s">
        <v>821</v>
      </c>
      <c r="G10" s="42" t="s">
        <v>830</v>
      </c>
    </row>
    <row r="11" spans="1:10">
      <c r="A11" s="40" t="s">
        <v>819</v>
      </c>
      <c r="B11" s="40" t="s">
        <v>820</v>
      </c>
      <c r="C11" s="52">
        <v>46028</v>
      </c>
      <c r="D11" s="40" t="s">
        <v>410</v>
      </c>
      <c r="E11" s="40" t="s">
        <v>821</v>
      </c>
      <c r="G11" s="42" t="s">
        <v>831</v>
      </c>
    </row>
    <row r="12" spans="1:10">
      <c r="A12" s="40" t="s">
        <v>819</v>
      </c>
      <c r="B12" s="40" t="s">
        <v>820</v>
      </c>
      <c r="C12" s="52">
        <v>46021</v>
      </c>
      <c r="D12" s="40" t="s">
        <v>410</v>
      </c>
      <c r="E12" s="40" t="s">
        <v>821</v>
      </c>
      <c r="G12" s="42" t="s">
        <v>832</v>
      </c>
    </row>
    <row r="13" spans="1:10">
      <c r="A13" s="40" t="s">
        <v>819</v>
      </c>
      <c r="B13" s="40" t="s">
        <v>820</v>
      </c>
      <c r="C13" s="52">
        <v>46014</v>
      </c>
      <c r="D13" s="40" t="s">
        <v>410</v>
      </c>
      <c r="E13" s="40" t="s">
        <v>821</v>
      </c>
      <c r="G13" s="42" t="s">
        <v>833</v>
      </c>
    </row>
    <row r="14" spans="1:10">
      <c r="A14" s="40" t="s">
        <v>819</v>
      </c>
      <c r="B14" s="40" t="s">
        <v>820</v>
      </c>
      <c r="C14" s="52">
        <v>46007</v>
      </c>
      <c r="D14" s="40" t="s">
        <v>410</v>
      </c>
      <c r="E14" s="40" t="s">
        <v>821</v>
      </c>
      <c r="G14" s="42" t="s">
        <v>834</v>
      </c>
    </row>
    <row r="15" spans="1:10">
      <c r="A15" s="40" t="s">
        <v>819</v>
      </c>
      <c r="B15" s="40" t="s">
        <v>820</v>
      </c>
      <c r="C15" s="52">
        <v>46000</v>
      </c>
      <c r="D15" s="40" t="s">
        <v>410</v>
      </c>
      <c r="E15" s="40" t="s">
        <v>821</v>
      </c>
      <c r="F15" s="53">
        <v>1257.52</v>
      </c>
      <c r="G15" s="42" t="s">
        <v>835</v>
      </c>
      <c r="I15" s="54">
        <v>45993.658831018518</v>
      </c>
    </row>
    <row r="16" spans="1:10">
      <c r="A16" s="40" t="s">
        <v>819</v>
      </c>
      <c r="B16" s="40" t="s">
        <v>820</v>
      </c>
      <c r="C16" s="52">
        <v>45993</v>
      </c>
      <c r="D16" s="40" t="s">
        <v>410</v>
      </c>
      <c r="E16" s="40" t="s">
        <v>821</v>
      </c>
      <c r="F16" s="53">
        <v>1262.49</v>
      </c>
      <c r="G16" s="42" t="s">
        <v>836</v>
      </c>
      <c r="I16" s="54">
        <v>45991.369328703702</v>
      </c>
    </row>
    <row r="17" spans="1:7">
      <c r="A17" s="40" t="s">
        <v>837</v>
      </c>
      <c r="B17" s="40" t="s">
        <v>838</v>
      </c>
      <c r="C17" s="52">
        <v>46081</v>
      </c>
      <c r="D17" s="40" t="s">
        <v>476</v>
      </c>
      <c r="E17" s="40" t="s">
        <v>839</v>
      </c>
      <c r="G17" s="49">
        <v>46081</v>
      </c>
    </row>
    <row r="18" spans="1:7">
      <c r="A18" s="40" t="s">
        <v>837</v>
      </c>
      <c r="B18" s="40" t="s">
        <v>838</v>
      </c>
      <c r="C18" s="52">
        <v>46080</v>
      </c>
      <c r="D18" s="40" t="s">
        <v>476</v>
      </c>
      <c r="E18" s="40" t="s">
        <v>839</v>
      </c>
      <c r="G18" s="49">
        <v>46080</v>
      </c>
    </row>
    <row r="19" spans="1:7">
      <c r="A19" s="40" t="s">
        <v>837</v>
      </c>
      <c r="B19" s="40" t="s">
        <v>838</v>
      </c>
      <c r="C19" s="52">
        <v>46079</v>
      </c>
      <c r="D19" s="40" t="s">
        <v>476</v>
      </c>
      <c r="E19" s="40" t="s">
        <v>839</v>
      </c>
      <c r="G19" s="49">
        <v>46079</v>
      </c>
    </row>
    <row r="20" spans="1:7">
      <c r="A20" s="40" t="s">
        <v>837</v>
      </c>
      <c r="B20" s="40" t="s">
        <v>838</v>
      </c>
      <c r="C20" s="52">
        <v>46078</v>
      </c>
      <c r="D20" s="40" t="s">
        <v>476</v>
      </c>
      <c r="E20" s="40" t="s">
        <v>839</v>
      </c>
      <c r="G20" s="49">
        <v>46078</v>
      </c>
    </row>
    <row r="21" spans="1:7">
      <c r="A21" s="40" t="s">
        <v>837</v>
      </c>
      <c r="B21" s="40" t="s">
        <v>838</v>
      </c>
      <c r="C21" s="52">
        <v>46077</v>
      </c>
      <c r="D21" s="40" t="s">
        <v>476</v>
      </c>
      <c r="E21" s="40" t="s">
        <v>839</v>
      </c>
      <c r="G21" s="49">
        <v>46077</v>
      </c>
    </row>
    <row r="22" spans="1:7">
      <c r="A22" s="40" t="s">
        <v>837</v>
      </c>
      <c r="B22" s="40" t="s">
        <v>838</v>
      </c>
      <c r="C22" s="52">
        <v>46076</v>
      </c>
      <c r="D22" s="40" t="s">
        <v>476</v>
      </c>
      <c r="E22" s="40" t="s">
        <v>839</v>
      </c>
      <c r="G22" s="49">
        <v>46076</v>
      </c>
    </row>
    <row r="23" spans="1:7">
      <c r="A23" s="40" t="s">
        <v>837</v>
      </c>
      <c r="B23" s="40" t="s">
        <v>838</v>
      </c>
      <c r="C23" s="52">
        <v>46075</v>
      </c>
      <c r="D23" s="40" t="s">
        <v>476</v>
      </c>
      <c r="E23" s="40" t="s">
        <v>839</v>
      </c>
      <c r="G23" s="49">
        <v>46075</v>
      </c>
    </row>
    <row r="24" spans="1:7">
      <c r="A24" s="40" t="s">
        <v>837</v>
      </c>
      <c r="B24" s="40" t="s">
        <v>838</v>
      </c>
      <c r="C24" s="52">
        <v>46074</v>
      </c>
      <c r="D24" s="40" t="s">
        <v>476</v>
      </c>
      <c r="E24" s="40" t="s">
        <v>839</v>
      </c>
      <c r="G24" s="49">
        <v>46074</v>
      </c>
    </row>
    <row r="25" spans="1:7">
      <c r="A25" s="40" t="s">
        <v>837</v>
      </c>
      <c r="B25" s="40" t="s">
        <v>838</v>
      </c>
      <c r="C25" s="52">
        <v>46073</v>
      </c>
      <c r="D25" s="40" t="s">
        <v>476</v>
      </c>
      <c r="E25" s="40" t="s">
        <v>839</v>
      </c>
      <c r="G25" s="49">
        <v>46073</v>
      </c>
    </row>
    <row r="26" spans="1:7">
      <c r="A26" s="40" t="s">
        <v>837</v>
      </c>
      <c r="B26" s="40" t="s">
        <v>838</v>
      </c>
      <c r="C26" s="52">
        <v>46072</v>
      </c>
      <c r="D26" s="40" t="s">
        <v>476</v>
      </c>
      <c r="E26" s="40" t="s">
        <v>839</v>
      </c>
      <c r="G26" s="49">
        <v>46072</v>
      </c>
    </row>
    <row r="27" spans="1:7">
      <c r="A27" s="40" t="s">
        <v>837</v>
      </c>
      <c r="B27" s="40" t="s">
        <v>838</v>
      </c>
      <c r="C27" s="52">
        <v>46071</v>
      </c>
      <c r="D27" s="40" t="s">
        <v>476</v>
      </c>
      <c r="E27" s="40" t="s">
        <v>839</v>
      </c>
      <c r="G27" s="49">
        <v>46071</v>
      </c>
    </row>
    <row r="28" spans="1:7">
      <c r="A28" s="40" t="s">
        <v>837</v>
      </c>
      <c r="B28" s="40" t="s">
        <v>838</v>
      </c>
      <c r="C28" s="52">
        <v>46070</v>
      </c>
      <c r="D28" s="40" t="s">
        <v>476</v>
      </c>
      <c r="E28" s="40" t="s">
        <v>839</v>
      </c>
      <c r="G28" s="49">
        <v>46070</v>
      </c>
    </row>
    <row r="29" spans="1:7">
      <c r="A29" s="40" t="s">
        <v>837</v>
      </c>
      <c r="B29" s="40" t="s">
        <v>838</v>
      </c>
      <c r="C29" s="52">
        <v>46069</v>
      </c>
      <c r="D29" s="40" t="s">
        <v>476</v>
      </c>
      <c r="E29" s="40" t="s">
        <v>839</v>
      </c>
      <c r="G29" s="49">
        <v>46069</v>
      </c>
    </row>
    <row r="30" spans="1:7">
      <c r="A30" s="40" t="s">
        <v>837</v>
      </c>
      <c r="B30" s="40" t="s">
        <v>838</v>
      </c>
      <c r="C30" s="52">
        <v>46068</v>
      </c>
      <c r="D30" s="40" t="s">
        <v>476</v>
      </c>
      <c r="E30" s="40" t="s">
        <v>839</v>
      </c>
      <c r="G30" s="49">
        <v>46068</v>
      </c>
    </row>
    <row r="31" spans="1:7">
      <c r="A31" s="40" t="s">
        <v>837</v>
      </c>
      <c r="B31" s="40" t="s">
        <v>838</v>
      </c>
      <c r="C31" s="52">
        <v>46067</v>
      </c>
      <c r="D31" s="40" t="s">
        <v>476</v>
      </c>
      <c r="E31" s="40" t="s">
        <v>839</v>
      </c>
      <c r="G31" s="49">
        <v>46067</v>
      </c>
    </row>
    <row r="32" spans="1:7">
      <c r="A32" s="40" t="s">
        <v>840</v>
      </c>
      <c r="B32" s="40" t="s">
        <v>841</v>
      </c>
      <c r="C32" s="52">
        <v>46081</v>
      </c>
      <c r="D32" s="40" t="s">
        <v>476</v>
      </c>
      <c r="E32" s="40" t="s">
        <v>839</v>
      </c>
      <c r="G32" s="49">
        <v>46081</v>
      </c>
    </row>
    <row r="33" spans="1:10">
      <c r="A33" s="40" t="s">
        <v>840</v>
      </c>
      <c r="B33" s="40" t="s">
        <v>841</v>
      </c>
      <c r="C33" s="52">
        <v>46080</v>
      </c>
      <c r="D33" s="40" t="s">
        <v>476</v>
      </c>
      <c r="E33" s="40" t="s">
        <v>839</v>
      </c>
      <c r="G33" s="49">
        <v>46080</v>
      </c>
    </row>
    <row r="34" spans="1:10">
      <c r="A34" s="40" t="s">
        <v>840</v>
      </c>
      <c r="B34" s="40" t="s">
        <v>841</v>
      </c>
      <c r="C34" s="52">
        <v>46079</v>
      </c>
      <c r="D34" s="40" t="s">
        <v>476</v>
      </c>
      <c r="E34" s="40" t="s">
        <v>839</v>
      </c>
      <c r="G34" s="49">
        <v>46079</v>
      </c>
    </row>
    <row r="35" spans="1:10">
      <c r="A35" s="40" t="s">
        <v>840</v>
      </c>
      <c r="B35" s="40" t="s">
        <v>841</v>
      </c>
      <c r="C35" s="52">
        <v>46078</v>
      </c>
      <c r="D35" s="40" t="s">
        <v>476</v>
      </c>
      <c r="E35" s="40" t="s">
        <v>839</v>
      </c>
      <c r="G35" s="49">
        <v>46078</v>
      </c>
    </row>
    <row r="36" spans="1:10">
      <c r="A36" s="40" t="s">
        <v>840</v>
      </c>
      <c r="B36" s="40" t="s">
        <v>841</v>
      </c>
      <c r="C36" s="52">
        <v>46077</v>
      </c>
      <c r="D36" s="40" t="s">
        <v>476</v>
      </c>
      <c r="E36" s="40" t="s">
        <v>839</v>
      </c>
      <c r="G36" s="49">
        <v>46077</v>
      </c>
    </row>
    <row r="37" spans="1:10">
      <c r="A37" s="40" t="s">
        <v>840</v>
      </c>
      <c r="B37" s="40" t="s">
        <v>841</v>
      </c>
      <c r="C37" s="52">
        <v>46076</v>
      </c>
      <c r="D37" s="40" t="s">
        <v>476</v>
      </c>
      <c r="E37" s="40" t="s">
        <v>839</v>
      </c>
      <c r="G37" s="49">
        <v>46076</v>
      </c>
    </row>
    <row r="38" spans="1:10">
      <c r="A38" s="40" t="s">
        <v>840</v>
      </c>
      <c r="B38" s="40" t="s">
        <v>841</v>
      </c>
      <c r="C38" s="52">
        <v>46075</v>
      </c>
      <c r="D38" s="40" t="s">
        <v>476</v>
      </c>
      <c r="E38" s="40" t="s">
        <v>839</v>
      </c>
      <c r="G38" s="49">
        <v>46075</v>
      </c>
    </row>
    <row r="39" spans="1:10">
      <c r="A39" s="40" t="s">
        <v>840</v>
      </c>
      <c r="B39" s="40" t="s">
        <v>841</v>
      </c>
      <c r="C39" s="52">
        <v>46074</v>
      </c>
      <c r="D39" s="40" t="s">
        <v>476</v>
      </c>
      <c r="E39" s="40" t="s">
        <v>839</v>
      </c>
      <c r="G39" s="49">
        <v>46074</v>
      </c>
    </row>
    <row r="40" spans="1:10">
      <c r="A40" s="40" t="s">
        <v>840</v>
      </c>
      <c r="B40" s="40" t="s">
        <v>841</v>
      </c>
      <c r="C40" s="52">
        <v>46073</v>
      </c>
      <c r="D40" s="40" t="s">
        <v>476</v>
      </c>
      <c r="E40" s="40" t="s">
        <v>839</v>
      </c>
      <c r="G40" s="49">
        <v>46073</v>
      </c>
    </row>
    <row r="41" spans="1:10">
      <c r="A41" s="40" t="s">
        <v>840</v>
      </c>
      <c r="B41" s="40" t="s">
        <v>841</v>
      </c>
      <c r="C41" s="52">
        <v>46072</v>
      </c>
      <c r="D41" s="40" t="s">
        <v>476</v>
      </c>
      <c r="E41" s="40" t="s">
        <v>839</v>
      </c>
      <c r="G41" s="49">
        <v>46072</v>
      </c>
    </row>
    <row r="42" spans="1:10">
      <c r="A42" s="40" t="s">
        <v>840</v>
      </c>
      <c r="B42" s="40" t="s">
        <v>841</v>
      </c>
      <c r="C42" s="52">
        <v>46071</v>
      </c>
      <c r="D42" s="40" t="s">
        <v>476</v>
      </c>
      <c r="E42" s="40" t="s">
        <v>839</v>
      </c>
      <c r="F42" s="53">
        <v>100</v>
      </c>
      <c r="G42" s="49">
        <v>46071</v>
      </c>
      <c r="I42" s="54">
        <v>46073.482314814813</v>
      </c>
      <c r="J42" s="40" t="s">
        <v>842</v>
      </c>
    </row>
    <row r="43" spans="1:10">
      <c r="A43" s="40" t="s">
        <v>840</v>
      </c>
      <c r="B43" s="40" t="s">
        <v>841</v>
      </c>
      <c r="C43" s="52">
        <v>46070</v>
      </c>
      <c r="D43" s="40" t="s">
        <v>476</v>
      </c>
      <c r="E43" s="40" t="s">
        <v>839</v>
      </c>
      <c r="F43" s="53">
        <v>100</v>
      </c>
      <c r="G43" s="49">
        <v>46070</v>
      </c>
      <c r="I43" s="54">
        <v>46073.482118055559</v>
      </c>
      <c r="J43" s="40" t="s">
        <v>843</v>
      </c>
    </row>
    <row r="44" spans="1:10">
      <c r="A44" s="40" t="s">
        <v>840</v>
      </c>
      <c r="B44" s="40" t="s">
        <v>841</v>
      </c>
      <c r="C44" s="52">
        <v>46069</v>
      </c>
      <c r="D44" s="40" t="s">
        <v>476</v>
      </c>
      <c r="E44" s="40" t="s">
        <v>839</v>
      </c>
      <c r="F44" s="53">
        <v>100</v>
      </c>
      <c r="G44" s="49">
        <v>46069</v>
      </c>
      <c r="I44" s="54">
        <v>46073.48196759259</v>
      </c>
      <c r="J44" s="40" t="s">
        <v>843</v>
      </c>
    </row>
    <row r="45" spans="1:10">
      <c r="A45" s="40" t="s">
        <v>840</v>
      </c>
      <c r="B45" s="40" t="s">
        <v>841</v>
      </c>
      <c r="C45" s="52">
        <v>46068</v>
      </c>
      <c r="D45" s="40" t="s">
        <v>476</v>
      </c>
      <c r="E45" s="40" t="s">
        <v>839</v>
      </c>
      <c r="F45" s="53">
        <v>100</v>
      </c>
      <c r="G45" s="49">
        <v>46068</v>
      </c>
      <c r="I45" s="54">
        <v>46073.481840277775</v>
      </c>
      <c r="J45" s="40" t="s">
        <v>843</v>
      </c>
    </row>
    <row r="46" spans="1:10">
      <c r="A46" s="40" t="s">
        <v>840</v>
      </c>
      <c r="B46" s="40" t="s">
        <v>841</v>
      </c>
      <c r="C46" s="52">
        <v>46067</v>
      </c>
      <c r="D46" s="40" t="s">
        <v>476</v>
      </c>
      <c r="E46" s="40" t="s">
        <v>839</v>
      </c>
      <c r="F46" s="53">
        <v>100</v>
      </c>
      <c r="G46" s="49">
        <v>46067</v>
      </c>
      <c r="I46" s="54">
        <v>46073.481631944444</v>
      </c>
      <c r="J46" s="40" t="s">
        <v>843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</vt:lpstr>
      <vt:lpstr>COLETAS MENSAIS</vt:lpstr>
      <vt:lpstr>COLETAS DIARIAS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Franklin Miranda</cp:lastModifiedBy>
  <dcterms:modified xsi:type="dcterms:W3CDTF">2026-03-01T22:52:30Z</dcterms:modified>
</cp:coreProperties>
</file>